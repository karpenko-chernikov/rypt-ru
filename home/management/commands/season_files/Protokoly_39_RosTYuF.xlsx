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\Desktop\ТЮФ2017\Протоколы\"/>
    </mc:Choice>
  </mc:AlternateContent>
  <bookViews>
    <workbookView xWindow="0" yWindow="0" windowWidth="15360" windowHeight="5235" firstSheet="4" activeTab="7"/>
  </bookViews>
  <sheets>
    <sheet name="Протокол 1 боя" sheetId="3" r:id="rId1"/>
    <sheet name="Протокол 2 боя" sheetId="18" r:id="rId2"/>
    <sheet name="Протокол 3 боя" sheetId="21" r:id="rId3"/>
    <sheet name="Протокол 4 боя " sheetId="24" r:id="rId4"/>
    <sheet name="Протокол 5 боя" sheetId="27" r:id="rId5"/>
    <sheet name="финал1" sheetId="29" r:id="rId6"/>
    <sheet name="финалВ" sheetId="30" r:id="rId7"/>
    <sheet name="командный" sheetId="28" r:id="rId8"/>
  </sheets>
  <definedNames>
    <definedName name="_xlnm._FilterDatabase" localSheetId="7" hidden="1">командный!$A$2:$I$2</definedName>
    <definedName name="_xlnm._FilterDatabase" localSheetId="4" hidden="1">'Протокол 5 боя'!$A$2:$N$101</definedName>
    <definedName name="_xlnm._FilterDatabase" localSheetId="5" hidden="1">финал1!$A$2:$O$16</definedName>
    <definedName name="_xlnm._FilterDatabase" localSheetId="6" hidden="1">финалВ!$A$2:$P$16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30" l="1"/>
  <c r="M15" i="30"/>
  <c r="M14" i="30"/>
  <c r="M11" i="30"/>
  <c r="M10" i="30"/>
  <c r="M9" i="30"/>
  <c r="M6" i="30"/>
  <c r="M5" i="30"/>
  <c r="M4" i="30"/>
  <c r="L16" i="29"/>
  <c r="L15" i="29"/>
  <c r="L14" i="29"/>
  <c r="L11" i="29"/>
  <c r="L10" i="29"/>
  <c r="L9" i="29"/>
  <c r="L6" i="29"/>
  <c r="L5" i="29"/>
  <c r="L4" i="29"/>
  <c r="O16" i="30" l="1"/>
  <c r="O15" i="30"/>
  <c r="O14" i="30"/>
  <c r="O11" i="30"/>
  <c r="O10" i="30"/>
  <c r="O9" i="30"/>
  <c r="O6" i="30"/>
  <c r="O5" i="30"/>
  <c r="O4" i="30"/>
  <c r="N15" i="29"/>
  <c r="N14" i="29"/>
  <c r="N11" i="29"/>
  <c r="N9" i="29"/>
  <c r="N6" i="29"/>
  <c r="N5" i="29"/>
  <c r="N4" i="29"/>
  <c r="N16" i="29"/>
  <c r="N10" i="29"/>
  <c r="P4" i="30" l="1"/>
  <c r="P9" i="30"/>
  <c r="P14" i="30"/>
  <c r="O4" i="29"/>
  <c r="O9" i="29"/>
  <c r="O14" i="29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9" i="28"/>
  <c r="I10" i="28"/>
  <c r="I7" i="28"/>
  <c r="I6" i="28"/>
  <c r="I4" i="28"/>
  <c r="I3" i="28"/>
  <c r="I5" i="28"/>
  <c r="K101" i="27"/>
  <c r="M101" i="27" s="1"/>
  <c r="K100" i="27"/>
  <c r="M100" i="27" s="1"/>
  <c r="K99" i="27"/>
  <c r="M99" i="27" s="1"/>
  <c r="K96" i="27"/>
  <c r="M96" i="27" s="1"/>
  <c r="K95" i="27"/>
  <c r="M95" i="27" s="1"/>
  <c r="K94" i="27"/>
  <c r="M94" i="27" s="1"/>
  <c r="K91" i="27"/>
  <c r="M91" i="27" s="1"/>
  <c r="K90" i="27"/>
  <c r="M90" i="27" s="1"/>
  <c r="K89" i="27"/>
  <c r="M89" i="27" s="1"/>
  <c r="K86" i="27"/>
  <c r="M86" i="27" s="1"/>
  <c r="K85" i="27"/>
  <c r="M85" i="27" s="1"/>
  <c r="K84" i="27"/>
  <c r="M84" i="27" s="1"/>
  <c r="K81" i="27"/>
  <c r="M81" i="27" s="1"/>
  <c r="K80" i="27"/>
  <c r="M80" i="27" s="1"/>
  <c r="K79" i="27"/>
  <c r="M79" i="27" s="1"/>
  <c r="K76" i="27"/>
  <c r="M76" i="27" s="1"/>
  <c r="K75" i="27"/>
  <c r="M75" i="27" s="1"/>
  <c r="K74" i="27"/>
  <c r="M74" i="27" s="1"/>
  <c r="K71" i="27"/>
  <c r="M71" i="27" s="1"/>
  <c r="K70" i="27"/>
  <c r="M70" i="27" s="1"/>
  <c r="K69" i="27"/>
  <c r="M69" i="27" s="1"/>
  <c r="K66" i="27"/>
  <c r="M66" i="27" s="1"/>
  <c r="K65" i="27"/>
  <c r="M65" i="27" s="1"/>
  <c r="K64" i="27"/>
  <c r="M64" i="27" s="1"/>
  <c r="K61" i="27"/>
  <c r="M61" i="27" s="1"/>
  <c r="K60" i="27"/>
  <c r="M60" i="27" s="1"/>
  <c r="K59" i="27"/>
  <c r="M59" i="27" s="1"/>
  <c r="K56" i="27"/>
  <c r="M56" i="27" s="1"/>
  <c r="K55" i="27"/>
  <c r="M55" i="27" s="1"/>
  <c r="K54" i="27"/>
  <c r="M54" i="27" s="1"/>
  <c r="K51" i="27"/>
  <c r="M51" i="27" s="1"/>
  <c r="K50" i="27"/>
  <c r="M50" i="27" s="1"/>
  <c r="K49" i="27"/>
  <c r="M49" i="27" s="1"/>
  <c r="K46" i="27"/>
  <c r="M46" i="27" s="1"/>
  <c r="K45" i="27"/>
  <c r="M45" i="27" s="1"/>
  <c r="K44" i="27"/>
  <c r="M44" i="27" s="1"/>
  <c r="K41" i="27"/>
  <c r="M41" i="27" s="1"/>
  <c r="K40" i="27"/>
  <c r="M40" i="27" s="1"/>
  <c r="K39" i="27"/>
  <c r="M39" i="27" s="1"/>
  <c r="K36" i="27"/>
  <c r="M36" i="27" s="1"/>
  <c r="K35" i="27"/>
  <c r="M35" i="27" s="1"/>
  <c r="K34" i="27"/>
  <c r="M34" i="27" s="1"/>
  <c r="K31" i="27"/>
  <c r="M31" i="27" s="1"/>
  <c r="K30" i="27"/>
  <c r="M30" i="27" s="1"/>
  <c r="K29" i="27"/>
  <c r="M29" i="27" s="1"/>
  <c r="K26" i="27"/>
  <c r="M26" i="27" s="1"/>
  <c r="K25" i="27"/>
  <c r="M25" i="27" s="1"/>
  <c r="K24" i="27"/>
  <c r="M24" i="27" s="1"/>
  <c r="K21" i="27"/>
  <c r="M21" i="27" s="1"/>
  <c r="K20" i="27"/>
  <c r="M20" i="27" s="1"/>
  <c r="K19" i="27"/>
  <c r="M19" i="27" s="1"/>
  <c r="N19" i="27" s="1"/>
  <c r="K16" i="27"/>
  <c r="M16" i="27" s="1"/>
  <c r="K15" i="27"/>
  <c r="M15" i="27" s="1"/>
  <c r="K14" i="27"/>
  <c r="M14" i="27" s="1"/>
  <c r="K11" i="27"/>
  <c r="M11" i="27" s="1"/>
  <c r="K10" i="27"/>
  <c r="M10" i="27" s="1"/>
  <c r="K9" i="27"/>
  <c r="M9" i="27" s="1"/>
  <c r="K6" i="27"/>
  <c r="M6" i="27" s="1"/>
  <c r="K5" i="27"/>
  <c r="M5" i="27" s="1"/>
  <c r="K4" i="27"/>
  <c r="M4" i="27" s="1"/>
  <c r="N9" i="27" l="1"/>
  <c r="N94" i="27"/>
  <c r="N49" i="27"/>
  <c r="N74" i="27"/>
  <c r="N24" i="27"/>
  <c r="N79" i="27"/>
  <c r="N54" i="27"/>
  <c r="N34" i="27"/>
  <c r="N4" i="27"/>
  <c r="N59" i="27"/>
  <c r="N39" i="27"/>
  <c r="N64" i="27"/>
  <c r="N89" i="27"/>
  <c r="N29" i="27"/>
  <c r="N84" i="27"/>
  <c r="N14" i="27"/>
  <c r="N44" i="27"/>
  <c r="N69" i="27"/>
  <c r="N99" i="27"/>
  <c r="P56" i="24" l="1"/>
  <c r="P55" i="24"/>
  <c r="P54" i="24"/>
  <c r="P51" i="24"/>
  <c r="P50" i="24"/>
  <c r="P49" i="24"/>
  <c r="P46" i="24"/>
  <c r="P45" i="24"/>
  <c r="P44" i="24"/>
  <c r="K4" i="24" l="1"/>
  <c r="M4" i="24" s="1"/>
  <c r="K5" i="24"/>
  <c r="M5" i="24" s="1"/>
  <c r="K6" i="24"/>
  <c r="M6" i="24" s="1"/>
  <c r="K9" i="24"/>
  <c r="M9" i="24" s="1"/>
  <c r="K10" i="24"/>
  <c r="M10" i="24" s="1"/>
  <c r="K11" i="24"/>
  <c r="M11" i="24"/>
  <c r="K14" i="24"/>
  <c r="M14" i="24" s="1"/>
  <c r="K15" i="24"/>
  <c r="M15" i="24" s="1"/>
  <c r="K16" i="24"/>
  <c r="M16" i="24" s="1"/>
  <c r="K19" i="24"/>
  <c r="M19" i="24" s="1"/>
  <c r="K20" i="24"/>
  <c r="M20" i="24" s="1"/>
  <c r="K21" i="24"/>
  <c r="M21" i="24" s="1"/>
  <c r="K24" i="24"/>
  <c r="M24" i="24" s="1"/>
  <c r="K25" i="24"/>
  <c r="M25" i="24" s="1"/>
  <c r="K26" i="24"/>
  <c r="M26" i="24" s="1"/>
  <c r="K29" i="24"/>
  <c r="M29" i="24" s="1"/>
  <c r="K30" i="24"/>
  <c r="M30" i="24" s="1"/>
  <c r="K31" i="24"/>
  <c r="M31" i="24" s="1"/>
  <c r="K34" i="24"/>
  <c r="M34" i="24" s="1"/>
  <c r="K35" i="24"/>
  <c r="M35" i="24" s="1"/>
  <c r="K36" i="24"/>
  <c r="M36" i="24" s="1"/>
  <c r="K39" i="24"/>
  <c r="M39" i="24" s="1"/>
  <c r="K40" i="24"/>
  <c r="M40" i="24" s="1"/>
  <c r="K41" i="24"/>
  <c r="M41" i="24" s="1"/>
  <c r="L44" i="24"/>
  <c r="N44" i="24" s="1"/>
  <c r="L45" i="24"/>
  <c r="N45" i="24" s="1"/>
  <c r="L46" i="24"/>
  <c r="N46" i="24" s="1"/>
  <c r="L49" i="24"/>
  <c r="N49" i="24" s="1"/>
  <c r="L50" i="24"/>
  <c r="N50" i="24" s="1"/>
  <c r="L51" i="24"/>
  <c r="N51" i="24" s="1"/>
  <c r="L54" i="24"/>
  <c r="N54" i="24" s="1"/>
  <c r="L55" i="24"/>
  <c r="N55" i="24" s="1"/>
  <c r="L56" i="24"/>
  <c r="N56" i="24" s="1"/>
  <c r="K59" i="24"/>
  <c r="M59" i="24" s="1"/>
  <c r="K60" i="24"/>
  <c r="M60" i="24" s="1"/>
  <c r="K61" i="24"/>
  <c r="M61" i="24" s="1"/>
  <c r="K64" i="24"/>
  <c r="M64" i="24" s="1"/>
  <c r="K65" i="24"/>
  <c r="M65" i="24" s="1"/>
  <c r="K66" i="24"/>
  <c r="M66" i="24" s="1"/>
  <c r="K69" i="24"/>
  <c r="M69" i="24" s="1"/>
  <c r="K70" i="24"/>
  <c r="M70" i="24" s="1"/>
  <c r="K71" i="24"/>
  <c r="M71" i="24" s="1"/>
  <c r="K74" i="24"/>
  <c r="M74" i="24" s="1"/>
  <c r="K75" i="24"/>
  <c r="M75" i="24" s="1"/>
  <c r="K76" i="24"/>
  <c r="M76" i="24" s="1"/>
  <c r="K79" i="24"/>
  <c r="M79" i="24" s="1"/>
  <c r="K80" i="24"/>
  <c r="M80" i="24" s="1"/>
  <c r="K81" i="24"/>
  <c r="M81" i="24" s="1"/>
  <c r="K84" i="24"/>
  <c r="M84" i="24" s="1"/>
  <c r="K85" i="24"/>
  <c r="M85" i="24" s="1"/>
  <c r="K86" i="24"/>
  <c r="M86" i="24" s="1"/>
  <c r="K89" i="24"/>
  <c r="M89" i="24" s="1"/>
  <c r="K90" i="24"/>
  <c r="M90" i="24" s="1"/>
  <c r="K91" i="24"/>
  <c r="M91" i="24" s="1"/>
  <c r="K94" i="24"/>
  <c r="M94" i="24" s="1"/>
  <c r="K95" i="24"/>
  <c r="M95" i="24" s="1"/>
  <c r="K96" i="24"/>
  <c r="M96" i="24" s="1"/>
  <c r="K99" i="24"/>
  <c r="M99" i="24" s="1"/>
  <c r="K100" i="24"/>
  <c r="M100" i="24" s="1"/>
  <c r="K101" i="24"/>
  <c r="M101" i="24" s="1"/>
  <c r="N69" i="24" l="1"/>
  <c r="N24" i="24"/>
  <c r="N34" i="24"/>
  <c r="N29" i="24"/>
  <c r="N89" i="24"/>
  <c r="N64" i="24"/>
  <c r="O54" i="24"/>
  <c r="O49" i="24"/>
  <c r="O44" i="24"/>
  <c r="N39" i="24"/>
  <c r="N14" i="24"/>
  <c r="N99" i="24"/>
  <c r="N19" i="24"/>
  <c r="N84" i="24"/>
  <c r="N79" i="24"/>
  <c r="N59" i="24"/>
  <c r="N9" i="24"/>
  <c r="N4" i="24"/>
  <c r="N94" i="24"/>
  <c r="N74" i="24"/>
  <c r="K101" i="21" l="1"/>
  <c r="M101" i="21" s="1"/>
  <c r="K100" i="21"/>
  <c r="M100" i="21" s="1"/>
  <c r="K99" i="21"/>
  <c r="M99" i="21" s="1"/>
  <c r="K96" i="21"/>
  <c r="M96" i="21" s="1"/>
  <c r="K95" i="21"/>
  <c r="M95" i="21" s="1"/>
  <c r="K94" i="21"/>
  <c r="M94" i="21" s="1"/>
  <c r="K91" i="21"/>
  <c r="M91" i="21" s="1"/>
  <c r="K90" i="21"/>
  <c r="M90" i="21" s="1"/>
  <c r="K89" i="21"/>
  <c r="M89" i="21" s="1"/>
  <c r="K86" i="21"/>
  <c r="M86" i="21" s="1"/>
  <c r="K85" i="21"/>
  <c r="M85" i="21" s="1"/>
  <c r="K84" i="21"/>
  <c r="M84" i="21" s="1"/>
  <c r="N84" i="21" s="1"/>
  <c r="K81" i="21"/>
  <c r="M81" i="21" s="1"/>
  <c r="K80" i="21"/>
  <c r="M80" i="21" s="1"/>
  <c r="K79" i="21"/>
  <c r="M79" i="21" s="1"/>
  <c r="K76" i="21"/>
  <c r="M76" i="21" s="1"/>
  <c r="K75" i="21"/>
  <c r="M75" i="21" s="1"/>
  <c r="K74" i="21"/>
  <c r="M74" i="21" s="1"/>
  <c r="K71" i="21"/>
  <c r="M71" i="21" s="1"/>
  <c r="K70" i="21"/>
  <c r="M70" i="21" s="1"/>
  <c r="K69" i="21"/>
  <c r="M69" i="21" s="1"/>
  <c r="K66" i="21"/>
  <c r="M66" i="21" s="1"/>
  <c r="K65" i="21"/>
  <c r="M65" i="21" s="1"/>
  <c r="K64" i="21"/>
  <c r="M64" i="21" s="1"/>
  <c r="K61" i="21"/>
  <c r="M61" i="21" s="1"/>
  <c r="K60" i="21"/>
  <c r="M60" i="21" s="1"/>
  <c r="K59" i="21"/>
  <c r="M59" i="21" s="1"/>
  <c r="K56" i="21"/>
  <c r="M56" i="21" s="1"/>
  <c r="K55" i="21"/>
  <c r="M55" i="21" s="1"/>
  <c r="K54" i="21"/>
  <c r="M54" i="21" s="1"/>
  <c r="K51" i="21"/>
  <c r="M51" i="21" s="1"/>
  <c r="K50" i="21"/>
  <c r="M50" i="21" s="1"/>
  <c r="K49" i="21"/>
  <c r="M49" i="21" s="1"/>
  <c r="K46" i="21"/>
  <c r="M46" i="21" s="1"/>
  <c r="K45" i="21"/>
  <c r="M45" i="21" s="1"/>
  <c r="K44" i="21"/>
  <c r="M44" i="21" s="1"/>
  <c r="K41" i="21"/>
  <c r="M41" i="21" s="1"/>
  <c r="K40" i="21"/>
  <c r="M40" i="21" s="1"/>
  <c r="K39" i="21"/>
  <c r="M39" i="21" s="1"/>
  <c r="K36" i="21"/>
  <c r="M36" i="21" s="1"/>
  <c r="K35" i="21"/>
  <c r="M35" i="21" s="1"/>
  <c r="K34" i="21"/>
  <c r="M34" i="21" s="1"/>
  <c r="K31" i="21"/>
  <c r="M31" i="21" s="1"/>
  <c r="K30" i="21"/>
  <c r="M30" i="21" s="1"/>
  <c r="K29" i="21"/>
  <c r="M29" i="21" s="1"/>
  <c r="K26" i="21"/>
  <c r="M26" i="21" s="1"/>
  <c r="K25" i="21"/>
  <c r="M25" i="21" s="1"/>
  <c r="K24" i="21"/>
  <c r="M24" i="21" s="1"/>
  <c r="K21" i="21"/>
  <c r="M21" i="21" s="1"/>
  <c r="K20" i="21"/>
  <c r="M20" i="21" s="1"/>
  <c r="K19" i="21"/>
  <c r="M19" i="21" s="1"/>
  <c r="K16" i="21"/>
  <c r="M16" i="21" s="1"/>
  <c r="K15" i="21"/>
  <c r="M15" i="21" s="1"/>
  <c r="K14" i="21"/>
  <c r="M14" i="21" s="1"/>
  <c r="K11" i="21"/>
  <c r="M11" i="21" s="1"/>
  <c r="K10" i="21"/>
  <c r="M10" i="21" s="1"/>
  <c r="K9" i="21"/>
  <c r="M9" i="21" s="1"/>
  <c r="K6" i="21"/>
  <c r="M6" i="21" s="1"/>
  <c r="K5" i="21"/>
  <c r="M5" i="21" s="1"/>
  <c r="K4" i="21"/>
  <c r="M4" i="21" s="1"/>
  <c r="N69" i="21" l="1"/>
  <c r="N94" i="21"/>
  <c r="N79" i="21"/>
  <c r="N64" i="21"/>
  <c r="N44" i="21"/>
  <c r="N99" i="21"/>
  <c r="N59" i="21"/>
  <c r="N39" i="21"/>
  <c r="N24" i="21"/>
  <c r="N19" i="21"/>
  <c r="N14" i="21"/>
  <c r="N9" i="21"/>
  <c r="N4" i="21"/>
  <c r="N49" i="21"/>
  <c r="N74" i="21"/>
  <c r="N29" i="21"/>
  <c r="N54" i="21"/>
  <c r="N34" i="21"/>
  <c r="N89" i="21"/>
  <c r="K101" i="18" l="1"/>
  <c r="M101" i="18" s="1"/>
  <c r="K100" i="18"/>
  <c r="M100" i="18" s="1"/>
  <c r="K99" i="18"/>
  <c r="M99" i="18" s="1"/>
  <c r="K96" i="18"/>
  <c r="M96" i="18" s="1"/>
  <c r="K95" i="18"/>
  <c r="M95" i="18" s="1"/>
  <c r="K94" i="18"/>
  <c r="M94" i="18" s="1"/>
  <c r="K91" i="18"/>
  <c r="M91" i="18" s="1"/>
  <c r="K90" i="18"/>
  <c r="M90" i="18" s="1"/>
  <c r="K89" i="18"/>
  <c r="M89" i="18" s="1"/>
  <c r="K86" i="18"/>
  <c r="M86" i="18" s="1"/>
  <c r="K85" i="18"/>
  <c r="M85" i="18" s="1"/>
  <c r="K84" i="18"/>
  <c r="M84" i="18" s="1"/>
  <c r="K81" i="18"/>
  <c r="M81" i="18" s="1"/>
  <c r="K80" i="18"/>
  <c r="M80" i="18" s="1"/>
  <c r="K79" i="18"/>
  <c r="M79" i="18" s="1"/>
  <c r="K76" i="18"/>
  <c r="M76" i="18" s="1"/>
  <c r="K75" i="18"/>
  <c r="M75" i="18" s="1"/>
  <c r="K74" i="18"/>
  <c r="M74" i="18" s="1"/>
  <c r="K71" i="18"/>
  <c r="M71" i="18" s="1"/>
  <c r="K70" i="18"/>
  <c r="M70" i="18" s="1"/>
  <c r="K69" i="18"/>
  <c r="M69" i="18" s="1"/>
  <c r="K66" i="18"/>
  <c r="M66" i="18" s="1"/>
  <c r="K65" i="18"/>
  <c r="M65" i="18" s="1"/>
  <c r="K64" i="18"/>
  <c r="M64" i="18" s="1"/>
  <c r="K61" i="18"/>
  <c r="M61" i="18" s="1"/>
  <c r="K60" i="18"/>
  <c r="M60" i="18" s="1"/>
  <c r="K59" i="18"/>
  <c r="M59" i="18" s="1"/>
  <c r="K56" i="18"/>
  <c r="M56" i="18" s="1"/>
  <c r="K55" i="18"/>
  <c r="M55" i="18" s="1"/>
  <c r="K54" i="18"/>
  <c r="M54" i="18" s="1"/>
  <c r="K51" i="18"/>
  <c r="M51" i="18" s="1"/>
  <c r="K50" i="18"/>
  <c r="M50" i="18" s="1"/>
  <c r="K49" i="18"/>
  <c r="M49" i="18" s="1"/>
  <c r="K46" i="18"/>
  <c r="M46" i="18" s="1"/>
  <c r="K45" i="18"/>
  <c r="M45" i="18" s="1"/>
  <c r="K44" i="18"/>
  <c r="M44" i="18" s="1"/>
  <c r="N44" i="18" s="1"/>
  <c r="K41" i="18"/>
  <c r="M41" i="18" s="1"/>
  <c r="K40" i="18"/>
  <c r="M40" i="18" s="1"/>
  <c r="K39" i="18"/>
  <c r="M39" i="18" s="1"/>
  <c r="K36" i="18"/>
  <c r="M36" i="18" s="1"/>
  <c r="K35" i="18"/>
  <c r="M35" i="18" s="1"/>
  <c r="K34" i="18"/>
  <c r="M34" i="18" s="1"/>
  <c r="K31" i="18"/>
  <c r="M31" i="18" s="1"/>
  <c r="K30" i="18"/>
  <c r="M30" i="18" s="1"/>
  <c r="K29" i="18"/>
  <c r="M29" i="18" s="1"/>
  <c r="K26" i="18"/>
  <c r="M26" i="18" s="1"/>
  <c r="K25" i="18"/>
  <c r="M25" i="18" s="1"/>
  <c r="K24" i="18"/>
  <c r="M24" i="18" s="1"/>
  <c r="K21" i="18"/>
  <c r="M21" i="18" s="1"/>
  <c r="K20" i="18"/>
  <c r="M20" i="18" s="1"/>
  <c r="K19" i="18"/>
  <c r="M19" i="18" s="1"/>
  <c r="K16" i="18"/>
  <c r="M16" i="18" s="1"/>
  <c r="K15" i="18"/>
  <c r="M15" i="18" s="1"/>
  <c r="K14" i="18"/>
  <c r="M14" i="18" s="1"/>
  <c r="K11" i="18"/>
  <c r="M11" i="18" s="1"/>
  <c r="K10" i="18"/>
  <c r="M10" i="18" s="1"/>
  <c r="K9" i="18"/>
  <c r="M9" i="18" s="1"/>
  <c r="K6" i="18"/>
  <c r="M6" i="18" s="1"/>
  <c r="K5" i="18"/>
  <c r="M5" i="18" s="1"/>
  <c r="K4" i="18"/>
  <c r="M4" i="18" s="1"/>
  <c r="N99" i="18" l="1"/>
  <c r="N39" i="18"/>
  <c r="N69" i="18"/>
  <c r="N94" i="18"/>
  <c r="N34" i="18"/>
  <c r="N59" i="18"/>
  <c r="N79" i="18"/>
  <c r="N74" i="18"/>
  <c r="N4" i="18"/>
  <c r="N14" i="18"/>
  <c r="N19" i="18"/>
  <c r="N54" i="18"/>
  <c r="N64" i="18"/>
  <c r="N89" i="18"/>
  <c r="N29" i="18"/>
  <c r="N84" i="18"/>
  <c r="N9" i="18"/>
  <c r="N24" i="18"/>
  <c r="N49" i="18"/>
  <c r="K101" i="3" l="1"/>
  <c r="M101" i="3" s="1"/>
  <c r="K100" i="3"/>
  <c r="M100" i="3" s="1"/>
  <c r="K99" i="3"/>
  <c r="M99" i="3" s="1"/>
  <c r="K96" i="3"/>
  <c r="K95" i="3"/>
  <c r="K94" i="3"/>
  <c r="K91" i="3"/>
  <c r="K90" i="3"/>
  <c r="K89" i="3"/>
  <c r="K86" i="3"/>
  <c r="K85" i="3"/>
  <c r="K84" i="3"/>
  <c r="K81" i="3"/>
  <c r="K80" i="3"/>
  <c r="K79" i="3"/>
  <c r="K76" i="3"/>
  <c r="K75" i="3"/>
  <c r="K74" i="3"/>
  <c r="K71" i="3"/>
  <c r="K70" i="3"/>
  <c r="K69" i="3"/>
  <c r="K66" i="3"/>
  <c r="K65" i="3"/>
  <c r="K64" i="3"/>
  <c r="K61" i="3"/>
  <c r="K60" i="3"/>
  <c r="K59" i="3"/>
  <c r="K56" i="3"/>
  <c r="K55" i="3"/>
  <c r="K54" i="3"/>
  <c r="K51" i="3"/>
  <c r="K50" i="3"/>
  <c r="K49" i="3"/>
  <c r="K46" i="3"/>
  <c r="K45" i="3"/>
  <c r="K44" i="3"/>
  <c r="K41" i="3"/>
  <c r="K40" i="3"/>
  <c r="K39" i="3"/>
  <c r="K36" i="3"/>
  <c r="K35" i="3"/>
  <c r="K34" i="3"/>
  <c r="K31" i="3"/>
  <c r="K30" i="3"/>
  <c r="K29" i="3"/>
  <c r="K26" i="3"/>
  <c r="K25" i="3"/>
  <c r="K24" i="3"/>
  <c r="K21" i="3"/>
  <c r="K20" i="3"/>
  <c r="K19" i="3"/>
  <c r="K16" i="3"/>
  <c r="K15" i="3"/>
  <c r="K14" i="3"/>
  <c r="K11" i="3"/>
  <c r="K10" i="3"/>
  <c r="K9" i="3"/>
  <c r="K4" i="3"/>
  <c r="K6" i="3"/>
  <c r="K5" i="3"/>
  <c r="N99" i="3" l="1"/>
  <c r="M96" i="3"/>
  <c r="M95" i="3"/>
  <c r="M94" i="3"/>
  <c r="M91" i="3"/>
  <c r="M90" i="3"/>
  <c r="M89" i="3"/>
  <c r="M86" i="3"/>
  <c r="M85" i="3"/>
  <c r="M84" i="3"/>
  <c r="M81" i="3"/>
  <c r="M80" i="3"/>
  <c r="M79" i="3"/>
  <c r="M76" i="3"/>
  <c r="M75" i="3"/>
  <c r="M74" i="3"/>
  <c r="M71" i="3"/>
  <c r="M70" i="3"/>
  <c r="M69" i="3"/>
  <c r="M66" i="3"/>
  <c r="M65" i="3"/>
  <c r="M64" i="3"/>
  <c r="M61" i="3"/>
  <c r="M60" i="3"/>
  <c r="M59" i="3"/>
  <c r="M56" i="3"/>
  <c r="M55" i="3"/>
  <c r="M54" i="3"/>
  <c r="M51" i="3"/>
  <c r="M50" i="3"/>
  <c r="M49" i="3"/>
  <c r="M46" i="3"/>
  <c r="M45" i="3"/>
  <c r="M44" i="3"/>
  <c r="M41" i="3"/>
  <c r="M40" i="3"/>
  <c r="M39" i="3"/>
  <c r="M36" i="3"/>
  <c r="M35" i="3"/>
  <c r="M34" i="3"/>
  <c r="M31" i="3"/>
  <c r="M30" i="3"/>
  <c r="M29" i="3"/>
  <c r="M26" i="3"/>
  <c r="M25" i="3"/>
  <c r="M24" i="3"/>
  <c r="M21" i="3"/>
  <c r="M20" i="3"/>
  <c r="M19" i="3"/>
  <c r="M16" i="3"/>
  <c r="M15" i="3"/>
  <c r="M14" i="3"/>
  <c r="M11" i="3"/>
  <c r="M4" i="3"/>
  <c r="M5" i="3"/>
  <c r="M6" i="3"/>
  <c r="M10" i="3"/>
  <c r="M9" i="3"/>
  <c r="N94" i="3" l="1"/>
  <c r="N89" i="3"/>
  <c r="N79" i="3"/>
  <c r="N74" i="3"/>
  <c r="N84" i="3"/>
  <c r="N59" i="3"/>
  <c r="N44" i="3"/>
  <c r="N24" i="3"/>
  <c r="N19" i="3"/>
  <c r="N14" i="3"/>
  <c r="N9" i="3"/>
  <c r="N4" i="3"/>
  <c r="N34" i="3"/>
  <c r="N29" i="3"/>
  <c r="N39" i="3"/>
  <c r="N49" i="3"/>
  <c r="N54" i="3"/>
  <c r="N64" i="3"/>
  <c r="N69" i="3"/>
</calcChain>
</file>

<file path=xl/sharedStrings.xml><?xml version="1.0" encoding="utf-8"?>
<sst xmlns="http://schemas.openxmlformats.org/spreadsheetml/2006/main" count="2321" uniqueCount="230">
  <si>
    <t>Д</t>
  </si>
  <si>
    <t>О</t>
  </si>
  <si>
    <t>Р</t>
  </si>
  <si>
    <t>ауд.201</t>
  </si>
  <si>
    <t>ауд.202</t>
  </si>
  <si>
    <t>ауд.301</t>
  </si>
  <si>
    <t>ауд.107</t>
  </si>
  <si>
    <t>Роль</t>
  </si>
  <si>
    <t>Команда</t>
  </si>
  <si>
    <t>задача</t>
  </si>
  <si>
    <t>Участник</t>
  </si>
  <si>
    <t>оценки</t>
  </si>
  <si>
    <t>min</t>
  </si>
  <si>
    <t>max</t>
  </si>
  <si>
    <t>ср.балл</t>
  </si>
  <si>
    <t>коэф</t>
  </si>
  <si>
    <t>балл</t>
  </si>
  <si>
    <t>Протокол первого отборочного боя</t>
  </si>
  <si>
    <t>ИТОГ</t>
  </si>
  <si>
    <t>ауд.106</t>
  </si>
  <si>
    <t>Крым</t>
  </si>
  <si>
    <t>Пушкин</t>
  </si>
  <si>
    <t>Лицей №30</t>
  </si>
  <si>
    <t>СУНЦ МГУ</t>
  </si>
  <si>
    <t>БИ-1</t>
  </si>
  <si>
    <t>БИ-2</t>
  </si>
  <si>
    <t>Джем</t>
  </si>
  <si>
    <t>Школа Пифагора</t>
  </si>
  <si>
    <t>СУНЦ НГУ</t>
  </si>
  <si>
    <t>Резонанс</t>
  </si>
  <si>
    <t>Тверичи</t>
  </si>
  <si>
    <t>Регион 42</t>
  </si>
  <si>
    <t>Демоны физики</t>
  </si>
  <si>
    <t>Изотопы</t>
  </si>
  <si>
    <t>СУНЦ УрФУ</t>
  </si>
  <si>
    <t>Зубанков</t>
  </si>
  <si>
    <t>Чуднова</t>
  </si>
  <si>
    <t>Милицкий</t>
  </si>
  <si>
    <t>ЛаНаТ</t>
  </si>
  <si>
    <t>Шушарин</t>
  </si>
  <si>
    <t>Некрасов</t>
  </si>
  <si>
    <t>Зворыгин</t>
  </si>
  <si>
    <t>Cooling</t>
  </si>
  <si>
    <t>Рева</t>
  </si>
  <si>
    <t>Дусман</t>
  </si>
  <si>
    <t>лицей № 30</t>
  </si>
  <si>
    <t>14,12,1</t>
  </si>
  <si>
    <t>Гусика</t>
  </si>
  <si>
    <t>Мулишов</t>
  </si>
  <si>
    <t>Тихорис</t>
  </si>
  <si>
    <t>ауд.актовый зал</t>
  </si>
  <si>
    <t>Салехов</t>
  </si>
  <si>
    <t>Сунцов</t>
  </si>
  <si>
    <t>Красков</t>
  </si>
  <si>
    <t>Козлов С.</t>
  </si>
  <si>
    <t>Лазарев</t>
  </si>
  <si>
    <t>Гурьев</t>
  </si>
  <si>
    <t>Шутов</t>
  </si>
  <si>
    <t>Волосников</t>
  </si>
  <si>
    <t>Ильин</t>
  </si>
  <si>
    <t>Турищева</t>
  </si>
  <si>
    <t>Козлов Н.</t>
  </si>
  <si>
    <t>Пальцева</t>
  </si>
  <si>
    <t>Дерябин</t>
  </si>
  <si>
    <t>Баев</t>
  </si>
  <si>
    <t>Красноперов</t>
  </si>
  <si>
    <t>БИ1</t>
  </si>
  <si>
    <t>Коскова</t>
  </si>
  <si>
    <t>Никитина</t>
  </si>
  <si>
    <t>Регион-42</t>
  </si>
  <si>
    <t>Козлова Л.</t>
  </si>
  <si>
    <t>Пшеничко</t>
  </si>
  <si>
    <t>Шулакова</t>
  </si>
  <si>
    <t>БИ2</t>
  </si>
  <si>
    <t>Пасынкова</t>
  </si>
  <si>
    <t>Клец</t>
  </si>
  <si>
    <t>Погосян</t>
  </si>
  <si>
    <t>Цеваков</t>
  </si>
  <si>
    <t>Кормильцев</t>
  </si>
  <si>
    <t>Семериков</t>
  </si>
  <si>
    <t>Петрашкевич</t>
  </si>
  <si>
    <t>Ким</t>
  </si>
  <si>
    <t>школа Пифагора</t>
  </si>
  <si>
    <t>Грушецкий</t>
  </si>
  <si>
    <t>Кормушин</t>
  </si>
  <si>
    <t>Буданцев</t>
  </si>
  <si>
    <t>Знаменский</t>
  </si>
  <si>
    <t>Одинцов</t>
  </si>
  <si>
    <t>Жирков</t>
  </si>
  <si>
    <t>Воронежская область</t>
  </si>
  <si>
    <t>Рыбкина</t>
  </si>
  <si>
    <t>Сухоруков</t>
  </si>
  <si>
    <t>Уточкин</t>
  </si>
  <si>
    <t>Кипящий лед</t>
  </si>
  <si>
    <t>Туленинов</t>
  </si>
  <si>
    <t>Солодовников</t>
  </si>
  <si>
    <t>Кимберлит</t>
  </si>
  <si>
    <t>Радаева</t>
  </si>
  <si>
    <t>Татарников</t>
  </si>
  <si>
    <t>Коновалов</t>
  </si>
  <si>
    <t>1 бой</t>
  </si>
  <si>
    <t>гимназия 406</t>
  </si>
  <si>
    <t>Первая</t>
  </si>
  <si>
    <t>высшая</t>
  </si>
  <si>
    <t>2 бой</t>
  </si>
  <si>
    <t>3 бой</t>
  </si>
  <si>
    <t>4 бой</t>
  </si>
  <si>
    <t>5 бой</t>
  </si>
  <si>
    <t>ФМЛ № 30</t>
  </si>
  <si>
    <t>Разуева</t>
  </si>
  <si>
    <t>Куцевалова</t>
  </si>
  <si>
    <t>Короленок</t>
  </si>
  <si>
    <t>Воронеж</t>
  </si>
  <si>
    <t>2, 11</t>
  </si>
  <si>
    <t>Козлова</t>
  </si>
  <si>
    <t>Васильева</t>
  </si>
  <si>
    <t>Воронов</t>
  </si>
  <si>
    <t>Смирнов</t>
  </si>
  <si>
    <t>1, 13</t>
  </si>
  <si>
    <t>Кицура</t>
  </si>
  <si>
    <t>Михайлова</t>
  </si>
  <si>
    <t>12, 16</t>
  </si>
  <si>
    <t>Копасов</t>
  </si>
  <si>
    <t>Шаманов</t>
  </si>
  <si>
    <t>Скорлуханова</t>
  </si>
  <si>
    <t>Быданцева</t>
  </si>
  <si>
    <t>Куон</t>
  </si>
  <si>
    <t>7, 17</t>
  </si>
  <si>
    <t>Сергиенко</t>
  </si>
  <si>
    <t>Минеев</t>
  </si>
  <si>
    <t>10, 17</t>
  </si>
  <si>
    <t>Жернова</t>
  </si>
  <si>
    <t>Кормилицын</t>
  </si>
  <si>
    <t>Лукъянчикова</t>
  </si>
  <si>
    <t>Гротов</t>
  </si>
  <si>
    <t>Тихониз</t>
  </si>
  <si>
    <t>Сухов</t>
  </si>
  <si>
    <t>Парпиходжаев</t>
  </si>
  <si>
    <t>Гимназия №406</t>
  </si>
  <si>
    <t>Павлюк</t>
  </si>
  <si>
    <t>Гимназия №407</t>
  </si>
  <si>
    <t>Жидков</t>
  </si>
  <si>
    <t>Гимназия №408</t>
  </si>
  <si>
    <t>Воронин</t>
  </si>
  <si>
    <t>13, 15</t>
  </si>
  <si>
    <t>Ланат</t>
  </si>
  <si>
    <t>Селюцкая</t>
  </si>
  <si>
    <t>Киреев</t>
  </si>
  <si>
    <t>Бордюгова</t>
  </si>
  <si>
    <t>Халманский</t>
  </si>
  <si>
    <t>Ермачкова</t>
  </si>
  <si>
    <t>Семенченко</t>
  </si>
  <si>
    <t>Тихолиз</t>
  </si>
  <si>
    <t>Гусина</t>
  </si>
  <si>
    <t>Козлов</t>
  </si>
  <si>
    <t>Случайные люди</t>
  </si>
  <si>
    <t>4, 13</t>
  </si>
  <si>
    <t>Демоны</t>
  </si>
  <si>
    <t>Копысов</t>
  </si>
  <si>
    <t>Данилина</t>
  </si>
  <si>
    <t>Невенченко</t>
  </si>
  <si>
    <t>13,10,4,1,7</t>
  </si>
  <si>
    <t xml:space="preserve">Шаманов </t>
  </si>
  <si>
    <t xml:space="preserve">Буданцев </t>
  </si>
  <si>
    <t>Трофанюк</t>
  </si>
  <si>
    <t>Сапаев</t>
  </si>
  <si>
    <t>Протокол третьего отборочного боя</t>
  </si>
  <si>
    <t>Протокол второго отборочного боя</t>
  </si>
  <si>
    <t>Физтех и МАН</t>
  </si>
  <si>
    <t>Зуев</t>
  </si>
  <si>
    <t xml:space="preserve">Коскова </t>
  </si>
  <si>
    <t>Татаринов</t>
  </si>
  <si>
    <t>Кузьминых</t>
  </si>
  <si>
    <t>гимназия № 406</t>
  </si>
  <si>
    <t>Полтораднев</t>
  </si>
  <si>
    <t>Гимназия 406</t>
  </si>
  <si>
    <t>Одинцев</t>
  </si>
  <si>
    <t>ЛаНат</t>
  </si>
  <si>
    <t>Пифагор</t>
  </si>
  <si>
    <t>9, 15</t>
  </si>
  <si>
    <t>Васильев</t>
  </si>
  <si>
    <t>12, 9, 5, 7, 16</t>
  </si>
  <si>
    <t>Тулеников</t>
  </si>
  <si>
    <t>Филатова</t>
  </si>
  <si>
    <t>7, 8, 1</t>
  </si>
  <si>
    <t>Кожушный</t>
  </si>
  <si>
    <t>15, 4, 11, 1, 9, 16, 7</t>
  </si>
  <si>
    <t>Меляков</t>
  </si>
  <si>
    <t>Шабалов</t>
  </si>
  <si>
    <t xml:space="preserve"> </t>
  </si>
  <si>
    <t>4, 5, 6, 7, 8, 11, 16</t>
  </si>
  <si>
    <t>Протокол четвертого отборочного боя</t>
  </si>
  <si>
    <t>Скворцова</t>
  </si>
  <si>
    <t>Цеванов</t>
  </si>
  <si>
    <t>ФМЛ 30</t>
  </si>
  <si>
    <t>Протокол пятого отборочного боя</t>
  </si>
  <si>
    <t>финал</t>
  </si>
  <si>
    <t>диплом 3 степени</t>
  </si>
  <si>
    <t>Ильин Иван</t>
  </si>
  <si>
    <t>Пальцева Анастасия</t>
  </si>
  <si>
    <t>Парпиходжаев Илья</t>
  </si>
  <si>
    <t>Протокол финального боя. Первая лига</t>
  </si>
  <si>
    <t>Протокол финального боя. Высшая лига</t>
  </si>
  <si>
    <t>Меляков Сергей</t>
  </si>
  <si>
    <t>Невченко</t>
  </si>
  <si>
    <t>Турищева Полина</t>
  </si>
  <si>
    <t>Дерябин Василий</t>
  </si>
  <si>
    <t>актовый зал</t>
  </si>
  <si>
    <t>отборочные бои</t>
  </si>
  <si>
    <t>диплом 2 степени</t>
  </si>
  <si>
    <t>диплом 1 степени</t>
  </si>
  <si>
    <t>Новосибирск, СУНЦ НГУ</t>
  </si>
  <si>
    <t>Екатеринбург, СУНЦ УрФУ</t>
  </si>
  <si>
    <t>Екатеринбург, лицей № 130</t>
  </si>
  <si>
    <t>Новосибирск, сборная</t>
  </si>
  <si>
    <t>Москва, СУНЦ МГУ</t>
  </si>
  <si>
    <t>Воронеж, сборная</t>
  </si>
  <si>
    <t>Барабинск, школа № 93</t>
  </si>
  <si>
    <t>Междуреченск, лицей № 20</t>
  </si>
  <si>
    <t>Москва, сборная</t>
  </si>
  <si>
    <t>Брейн-индукция - 1</t>
  </si>
  <si>
    <t>Киров, гуманитарная гимназия</t>
  </si>
  <si>
    <t>Санкт-Петербург</t>
  </si>
  <si>
    <t>Симферополь, сборная</t>
  </si>
  <si>
    <t>Брейн-индукция - 2</t>
  </si>
  <si>
    <t>Тверь, сборная</t>
  </si>
  <si>
    <t>Санкт-Петербург, ФМЛ № 30</t>
  </si>
  <si>
    <t>Мирный, сборная</t>
  </si>
  <si>
    <t>Москва, лицей "Вторая школа"</t>
  </si>
  <si>
    <t>Территория, школа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</si>
</sst>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4" fontId="1" fillId="2" borderId="0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topLeftCell="E1" zoomScale="80" zoomScaleNormal="80" workbookViewId="0">
      <selection activeCell="P3" sqref="P3:AB6"/>
    </sheetView>
  </sheetViews>
  <sheetFormatPr defaultRowHeight="15" x14ac:dyDescent="0.25"/>
  <cols>
    <col min="1" max="1" width="15.140625" customWidth="1"/>
    <col min="2" max="2" width="5.42578125" customWidth="1"/>
    <col min="3" max="3" width="8.140625" customWidth="1"/>
    <col min="4" max="4" width="19.85546875" customWidth="1"/>
    <col min="5" max="10" width="5.85546875" customWidth="1"/>
    <col min="11" max="11" width="8" customWidth="1"/>
    <col min="12" max="13" width="7.85546875" customWidth="1"/>
    <col min="15" max="15" width="3.5703125" customWidth="1"/>
  </cols>
  <sheetData>
    <row r="1" spans="1:14" ht="18.75" x14ac:dyDescent="0.3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8.75" x14ac:dyDescent="0.3">
      <c r="A2" s="2" t="s">
        <v>3</v>
      </c>
      <c r="B2" s="2"/>
      <c r="C2" s="2"/>
      <c r="D2" s="2"/>
      <c r="E2" s="18" t="s">
        <v>11</v>
      </c>
      <c r="F2" s="18"/>
      <c r="G2" s="18"/>
      <c r="H2" s="18"/>
      <c r="I2" s="18"/>
      <c r="J2" s="18"/>
      <c r="K2" s="2"/>
      <c r="L2" s="2"/>
      <c r="M2" s="2"/>
    </row>
    <row r="3" spans="1:14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6" t="s">
        <v>14</v>
      </c>
      <c r="L3" s="4" t="s">
        <v>15</v>
      </c>
      <c r="M3" s="4" t="s">
        <v>16</v>
      </c>
      <c r="N3" s="7" t="s">
        <v>18</v>
      </c>
    </row>
    <row r="4" spans="1:14" ht="18.75" x14ac:dyDescent="0.25">
      <c r="A4" s="4" t="s">
        <v>26</v>
      </c>
      <c r="B4" s="4" t="s">
        <v>0</v>
      </c>
      <c r="C4" s="4">
        <v>4</v>
      </c>
      <c r="D4" s="4" t="s">
        <v>35</v>
      </c>
      <c r="E4" s="4">
        <v>5</v>
      </c>
      <c r="F4" s="4">
        <v>7</v>
      </c>
      <c r="G4" s="4">
        <v>6</v>
      </c>
      <c r="H4" s="4">
        <v>5</v>
      </c>
      <c r="I4" s="4"/>
      <c r="J4" s="4"/>
      <c r="K4" s="4">
        <f>((E4+F4)/2+G4+H4+I4+J4)/3</f>
        <v>5.666666666666667</v>
      </c>
      <c r="L4" s="4">
        <v>3</v>
      </c>
      <c r="M4" s="4">
        <f>L4*K4</f>
        <v>17</v>
      </c>
      <c r="N4" s="19">
        <f>M4+M5+M6</f>
        <v>34.666666666666664</v>
      </c>
    </row>
    <row r="5" spans="1:14" ht="18.75" x14ac:dyDescent="0.25">
      <c r="A5" s="4" t="s">
        <v>26</v>
      </c>
      <c r="B5" s="4" t="s">
        <v>1</v>
      </c>
      <c r="C5" s="4">
        <v>11</v>
      </c>
      <c r="D5" s="4" t="s">
        <v>36</v>
      </c>
      <c r="E5" s="4">
        <v>5</v>
      </c>
      <c r="F5" s="4">
        <v>6</v>
      </c>
      <c r="G5" s="4">
        <v>6</v>
      </c>
      <c r="H5" s="4">
        <v>6</v>
      </c>
      <c r="I5" s="4"/>
      <c r="J5" s="4"/>
      <c r="K5" s="4">
        <f>((E5+F5)/2+G5+H5+I5+J5)/3</f>
        <v>5.833333333333333</v>
      </c>
      <c r="L5" s="4">
        <v>2</v>
      </c>
      <c r="M5" s="4">
        <f t="shared" ref="M5:M6" si="0">L5*K5</f>
        <v>11.666666666666666</v>
      </c>
      <c r="N5" s="19"/>
    </row>
    <row r="6" spans="1:14" ht="18.75" x14ac:dyDescent="0.25">
      <c r="A6" s="4" t="s">
        <v>26</v>
      </c>
      <c r="B6" s="4" t="s">
        <v>2</v>
      </c>
      <c r="C6" s="4">
        <v>16</v>
      </c>
      <c r="D6" s="4" t="s">
        <v>37</v>
      </c>
      <c r="E6" s="4">
        <v>5</v>
      </c>
      <c r="F6" s="4">
        <v>7</v>
      </c>
      <c r="G6" s="4">
        <v>6</v>
      </c>
      <c r="H6" s="4">
        <v>6</v>
      </c>
      <c r="I6" s="4"/>
      <c r="J6" s="4"/>
      <c r="K6" s="4">
        <f>((E6+F6)/2+G6+H6+I6+J6)/3</f>
        <v>6</v>
      </c>
      <c r="L6" s="4">
        <v>1</v>
      </c>
      <c r="M6" s="4">
        <f t="shared" si="0"/>
        <v>6</v>
      </c>
      <c r="N6" s="19"/>
    </row>
    <row r="7" spans="1:14" ht="18.75" x14ac:dyDescent="0.3">
      <c r="A7" s="2" t="s">
        <v>3</v>
      </c>
      <c r="B7" s="2">
        <v>16</v>
      </c>
      <c r="C7" s="2"/>
      <c r="D7" s="2"/>
      <c r="E7" s="18" t="s">
        <v>11</v>
      </c>
      <c r="F7" s="18"/>
      <c r="G7" s="18"/>
      <c r="H7" s="18"/>
      <c r="I7" s="18"/>
      <c r="J7" s="18"/>
      <c r="K7" s="2"/>
      <c r="L7" s="2"/>
      <c r="M7" s="2"/>
    </row>
    <row r="8" spans="1:14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6" t="s">
        <v>14</v>
      </c>
      <c r="L8" s="4" t="s">
        <v>15</v>
      </c>
      <c r="M8" s="4" t="s">
        <v>16</v>
      </c>
      <c r="N8" s="7" t="s">
        <v>18</v>
      </c>
    </row>
    <row r="9" spans="1:14" ht="18.75" x14ac:dyDescent="0.25">
      <c r="A9" s="4" t="s">
        <v>38</v>
      </c>
      <c r="B9" s="4" t="s">
        <v>0</v>
      </c>
      <c r="C9" s="4">
        <v>6</v>
      </c>
      <c r="D9" s="4" t="s">
        <v>39</v>
      </c>
      <c r="E9" s="4">
        <v>6</v>
      </c>
      <c r="F9" s="4">
        <v>8</v>
      </c>
      <c r="G9" s="4">
        <v>8</v>
      </c>
      <c r="H9" s="4">
        <v>6</v>
      </c>
      <c r="I9" s="4">
        <v>0</v>
      </c>
      <c r="J9" s="4"/>
      <c r="K9" s="4">
        <f>((E9+F9)/2+G9+H9+I9+J9)/3</f>
        <v>7</v>
      </c>
      <c r="L9" s="4">
        <v>3</v>
      </c>
      <c r="M9" s="4">
        <f>L9*K9</f>
        <v>21</v>
      </c>
      <c r="N9" s="19">
        <f>M9+M10+M11</f>
        <v>40.333333333333329</v>
      </c>
    </row>
    <row r="10" spans="1:14" ht="18.75" x14ac:dyDescent="0.25">
      <c r="A10" s="4" t="s">
        <v>38</v>
      </c>
      <c r="B10" s="4" t="s">
        <v>1</v>
      </c>
      <c r="C10" s="4">
        <v>4</v>
      </c>
      <c r="D10" s="4" t="s">
        <v>40</v>
      </c>
      <c r="E10" s="4">
        <v>6</v>
      </c>
      <c r="F10" s="4">
        <v>7</v>
      </c>
      <c r="G10" s="4">
        <v>7</v>
      </c>
      <c r="H10" s="4">
        <v>7</v>
      </c>
      <c r="I10" s="4"/>
      <c r="J10" s="4"/>
      <c r="K10" s="4">
        <f>((E10+F10)/2+G10+H10+I10+J10)/3</f>
        <v>6.833333333333333</v>
      </c>
      <c r="L10" s="4">
        <v>2</v>
      </c>
      <c r="M10" s="4">
        <f t="shared" ref="M10:M11" si="1">L10*K10</f>
        <v>13.666666666666666</v>
      </c>
      <c r="N10" s="19"/>
    </row>
    <row r="11" spans="1:14" ht="18.75" x14ac:dyDescent="0.25">
      <c r="A11" s="4" t="s">
        <v>38</v>
      </c>
      <c r="B11" s="4" t="s">
        <v>2</v>
      </c>
      <c r="C11" s="4">
        <v>11</v>
      </c>
      <c r="D11" s="4" t="s">
        <v>41</v>
      </c>
      <c r="E11" s="4">
        <v>5</v>
      </c>
      <c r="F11" s="4">
        <v>7</v>
      </c>
      <c r="G11" s="4">
        <v>5</v>
      </c>
      <c r="H11" s="4">
        <v>6</v>
      </c>
      <c r="I11" s="4"/>
      <c r="J11" s="4"/>
      <c r="K11" s="4">
        <f>((E11+F11)/2+G11+H11+I11+J11)/3</f>
        <v>5.666666666666667</v>
      </c>
      <c r="L11" s="4">
        <v>1</v>
      </c>
      <c r="M11" s="4">
        <f t="shared" si="1"/>
        <v>5.666666666666667</v>
      </c>
      <c r="N11" s="19"/>
    </row>
    <row r="12" spans="1:14" ht="18.75" x14ac:dyDescent="0.3">
      <c r="A12" s="2" t="s">
        <v>3</v>
      </c>
      <c r="B12" s="2"/>
      <c r="C12" s="2"/>
      <c r="D12" s="2"/>
      <c r="E12" s="18" t="s">
        <v>11</v>
      </c>
      <c r="F12" s="18"/>
      <c r="G12" s="18"/>
      <c r="H12" s="18"/>
      <c r="I12" s="18"/>
      <c r="J12" s="18"/>
      <c r="K12" s="2"/>
      <c r="L12" s="2"/>
      <c r="M12" s="2"/>
    </row>
    <row r="13" spans="1:14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6" t="s">
        <v>14</v>
      </c>
      <c r="L13" s="4" t="s">
        <v>15</v>
      </c>
      <c r="M13" s="4" t="s">
        <v>16</v>
      </c>
      <c r="N13" s="7" t="s">
        <v>18</v>
      </c>
    </row>
    <row r="14" spans="1:14" ht="18.75" x14ac:dyDescent="0.25">
      <c r="A14" s="4" t="s">
        <v>42</v>
      </c>
      <c r="B14" s="4" t="s">
        <v>0</v>
      </c>
      <c r="C14" s="4">
        <v>11</v>
      </c>
      <c r="D14" s="4" t="s">
        <v>43</v>
      </c>
      <c r="E14" s="4">
        <v>3</v>
      </c>
      <c r="F14" s="4">
        <v>4</v>
      </c>
      <c r="G14" s="4">
        <v>3</v>
      </c>
      <c r="H14" s="4">
        <v>3</v>
      </c>
      <c r="I14" s="4"/>
      <c r="J14" s="4"/>
      <c r="K14" s="4">
        <f>((E14+F14)/2+G14+H14+I14+J14)/3</f>
        <v>3.1666666666666665</v>
      </c>
      <c r="L14" s="4">
        <v>3</v>
      </c>
      <c r="M14" s="4">
        <f>L14*K14</f>
        <v>9.5</v>
      </c>
      <c r="N14" s="19">
        <f>M14+M15+M16</f>
        <v>24.166666666666668</v>
      </c>
    </row>
    <row r="15" spans="1:14" ht="18.75" x14ac:dyDescent="0.25">
      <c r="A15" s="4" t="s">
        <v>42</v>
      </c>
      <c r="B15" s="4" t="s">
        <v>1</v>
      </c>
      <c r="C15" s="4">
        <v>16</v>
      </c>
      <c r="D15" s="4" t="s">
        <v>44</v>
      </c>
      <c r="E15" s="4">
        <v>4</v>
      </c>
      <c r="F15" s="4">
        <v>5</v>
      </c>
      <c r="G15" s="4">
        <v>5</v>
      </c>
      <c r="H15" s="4">
        <v>4</v>
      </c>
      <c r="I15" s="4"/>
      <c r="J15" s="4"/>
      <c r="K15" s="4">
        <f>((E15+F15)/2+G15+H15+I15+J15)/3</f>
        <v>4.5</v>
      </c>
      <c r="L15" s="4">
        <v>2</v>
      </c>
      <c r="M15" s="4">
        <f t="shared" ref="M15:M16" si="2">L15*K15</f>
        <v>9</v>
      </c>
      <c r="N15" s="19"/>
    </row>
    <row r="16" spans="1:14" ht="18.75" x14ac:dyDescent="0.25">
      <c r="A16" s="4" t="s">
        <v>42</v>
      </c>
      <c r="B16" s="4" t="s">
        <v>2</v>
      </c>
      <c r="C16" s="4">
        <v>6</v>
      </c>
      <c r="D16" s="4" t="s">
        <v>43</v>
      </c>
      <c r="E16" s="4">
        <v>5</v>
      </c>
      <c r="F16" s="4">
        <v>7</v>
      </c>
      <c r="G16" s="4">
        <v>5</v>
      </c>
      <c r="H16" s="4">
        <v>6</v>
      </c>
      <c r="I16" s="4"/>
      <c r="J16" s="4"/>
      <c r="K16" s="4">
        <f>((E16+F16)/2+G16+H16+I16+J16)/3</f>
        <v>5.666666666666667</v>
      </c>
      <c r="L16" s="4">
        <v>1</v>
      </c>
      <c r="M16" s="4">
        <f t="shared" si="2"/>
        <v>5.666666666666667</v>
      </c>
      <c r="N16" s="19"/>
    </row>
    <row r="17" spans="1:14" ht="18.75" x14ac:dyDescent="0.3">
      <c r="A17" s="2" t="s">
        <v>3</v>
      </c>
      <c r="B17" s="2" t="s">
        <v>46</v>
      </c>
      <c r="C17" s="2"/>
      <c r="D17" s="2"/>
      <c r="E17" s="18" t="s">
        <v>11</v>
      </c>
      <c r="F17" s="18"/>
      <c r="G17" s="18"/>
      <c r="H17" s="18"/>
      <c r="I17" s="18"/>
      <c r="J17" s="18"/>
      <c r="K17" s="2"/>
      <c r="L17" s="2"/>
      <c r="M17" s="2"/>
    </row>
    <row r="18" spans="1:14" ht="18.75" x14ac:dyDescent="0.25">
      <c r="A18" s="4" t="s">
        <v>8</v>
      </c>
      <c r="B18" s="6" t="s">
        <v>7</v>
      </c>
      <c r="C18" s="4" t="s">
        <v>9</v>
      </c>
      <c r="D18" s="4" t="s">
        <v>10</v>
      </c>
      <c r="E18" s="4" t="s">
        <v>12</v>
      </c>
      <c r="F18" s="4" t="s">
        <v>13</v>
      </c>
      <c r="G18" s="4"/>
      <c r="H18" s="4"/>
      <c r="I18" s="4"/>
      <c r="J18" s="4"/>
      <c r="K18" s="6" t="s">
        <v>14</v>
      </c>
      <c r="L18" s="4" t="s">
        <v>15</v>
      </c>
      <c r="M18" s="4" t="s">
        <v>16</v>
      </c>
      <c r="N18" s="7" t="s">
        <v>18</v>
      </c>
    </row>
    <row r="19" spans="1:14" ht="18.75" x14ac:dyDescent="0.25">
      <c r="A19" s="4" t="s">
        <v>45</v>
      </c>
      <c r="B19" s="4" t="s">
        <v>0</v>
      </c>
      <c r="C19" s="4">
        <v>16</v>
      </c>
      <c r="D19" s="4" t="s">
        <v>47</v>
      </c>
      <c r="E19" s="4">
        <v>4</v>
      </c>
      <c r="F19" s="4">
        <v>5</v>
      </c>
      <c r="G19" s="4">
        <v>4</v>
      </c>
      <c r="H19" s="4">
        <v>4</v>
      </c>
      <c r="I19" s="4"/>
      <c r="J19" s="4"/>
      <c r="K19" s="4">
        <f>((E19+F19)/2+G19+H19+I19+J19)/3</f>
        <v>4.166666666666667</v>
      </c>
      <c r="L19" s="4">
        <v>3</v>
      </c>
      <c r="M19" s="4">
        <f>L19*K19</f>
        <v>12.5</v>
      </c>
      <c r="N19" s="19">
        <f>M19+M20+M21</f>
        <v>27.166666666666664</v>
      </c>
    </row>
    <row r="20" spans="1:14" ht="18.75" x14ac:dyDescent="0.25">
      <c r="A20" s="4" t="s">
        <v>45</v>
      </c>
      <c r="B20" s="4" t="s">
        <v>1</v>
      </c>
      <c r="C20" s="4">
        <v>6</v>
      </c>
      <c r="D20" s="4" t="s">
        <v>48</v>
      </c>
      <c r="E20" s="4">
        <v>4</v>
      </c>
      <c r="F20" s="4">
        <v>7</v>
      </c>
      <c r="G20" s="4">
        <v>4</v>
      </c>
      <c r="H20" s="4">
        <v>5</v>
      </c>
      <c r="I20" s="4"/>
      <c r="J20" s="4"/>
      <c r="K20" s="4">
        <f>((E20+F20)/2+G20+H20+I20+J20)/3</f>
        <v>4.833333333333333</v>
      </c>
      <c r="L20" s="4">
        <v>2</v>
      </c>
      <c r="M20" s="4">
        <f t="shared" ref="M20:M21" si="3">L20*K20</f>
        <v>9.6666666666666661</v>
      </c>
      <c r="N20" s="19"/>
    </row>
    <row r="21" spans="1:14" ht="18.75" x14ac:dyDescent="0.25">
      <c r="A21" s="4" t="s">
        <v>45</v>
      </c>
      <c r="B21" s="4" t="s">
        <v>2</v>
      </c>
      <c r="C21" s="4">
        <v>4</v>
      </c>
      <c r="D21" s="4" t="s">
        <v>49</v>
      </c>
      <c r="E21" s="4">
        <v>4</v>
      </c>
      <c r="F21" s="4">
        <v>6</v>
      </c>
      <c r="G21" s="4">
        <v>5</v>
      </c>
      <c r="H21" s="4">
        <v>5</v>
      </c>
      <c r="I21" s="4"/>
      <c r="J21" s="4"/>
      <c r="K21" s="4">
        <f>((E21+F21)/2+G21+H21+I21+J21)/3</f>
        <v>5</v>
      </c>
      <c r="L21" s="4">
        <v>1</v>
      </c>
      <c r="M21" s="4">
        <f t="shared" si="3"/>
        <v>5</v>
      </c>
      <c r="N21" s="19"/>
    </row>
    <row r="22" spans="1:14" ht="18.75" x14ac:dyDescent="0.3">
      <c r="A22" s="2" t="s">
        <v>50</v>
      </c>
      <c r="B22" s="2"/>
      <c r="C22" s="2">
        <v>8</v>
      </c>
      <c r="D22" s="2"/>
      <c r="E22" s="18" t="s">
        <v>11</v>
      </c>
      <c r="F22" s="18"/>
      <c r="G22" s="18"/>
      <c r="H22" s="18"/>
      <c r="I22" s="18"/>
      <c r="J22" s="18"/>
      <c r="K22" s="2"/>
      <c r="L22" s="2"/>
      <c r="M22" s="2"/>
    </row>
    <row r="23" spans="1:14" ht="18.75" x14ac:dyDescent="0.25">
      <c r="A23" s="4" t="s">
        <v>8</v>
      </c>
      <c r="B23" s="6" t="s">
        <v>7</v>
      </c>
      <c r="C23" s="4" t="s">
        <v>9</v>
      </c>
      <c r="D23" s="4" t="s">
        <v>10</v>
      </c>
      <c r="E23" s="4" t="s">
        <v>12</v>
      </c>
      <c r="F23" s="4" t="s">
        <v>13</v>
      </c>
      <c r="G23" s="4"/>
      <c r="H23" s="4"/>
      <c r="I23" s="4"/>
      <c r="J23" s="4"/>
      <c r="K23" s="6" t="s">
        <v>14</v>
      </c>
      <c r="L23" s="4" t="s">
        <v>15</v>
      </c>
      <c r="M23" s="4" t="s">
        <v>16</v>
      </c>
      <c r="N23" s="7" t="s">
        <v>18</v>
      </c>
    </row>
    <row r="24" spans="1:14" ht="18.75" x14ac:dyDescent="0.25">
      <c r="A24" s="4" t="s">
        <v>23</v>
      </c>
      <c r="B24" s="4" t="s">
        <v>0</v>
      </c>
      <c r="C24" s="4">
        <v>12</v>
      </c>
      <c r="D24" s="4" t="s">
        <v>51</v>
      </c>
      <c r="E24" s="4">
        <v>3</v>
      </c>
      <c r="F24" s="4">
        <v>6</v>
      </c>
      <c r="G24" s="4">
        <v>5</v>
      </c>
      <c r="H24" s="4">
        <v>5</v>
      </c>
      <c r="I24" s="4"/>
      <c r="J24" s="4"/>
      <c r="K24" s="4">
        <f>((E24+F24)/2+G24+H24+I24+J24)/3</f>
        <v>4.833333333333333</v>
      </c>
      <c r="L24" s="4">
        <v>3</v>
      </c>
      <c r="M24" s="4">
        <f>L24*K24</f>
        <v>14.5</v>
      </c>
      <c r="N24" s="19">
        <f>M24+M25+M26</f>
        <v>32</v>
      </c>
    </row>
    <row r="25" spans="1:14" ht="18.75" x14ac:dyDescent="0.25">
      <c r="A25" s="4" t="s">
        <v>23</v>
      </c>
      <c r="B25" s="4" t="s">
        <v>1</v>
      </c>
      <c r="C25" s="4">
        <v>9</v>
      </c>
      <c r="D25" s="4" t="s">
        <v>52</v>
      </c>
      <c r="E25" s="4">
        <v>5</v>
      </c>
      <c r="F25" s="4">
        <v>7</v>
      </c>
      <c r="G25" s="4">
        <v>6</v>
      </c>
      <c r="H25" s="4">
        <v>6</v>
      </c>
      <c r="I25" s="4"/>
      <c r="J25" s="4"/>
      <c r="K25" s="4">
        <f>((E25+F25)/2+G25+H25+I25+J25)/3</f>
        <v>6</v>
      </c>
      <c r="L25" s="4">
        <v>2</v>
      </c>
      <c r="M25" s="4">
        <f t="shared" ref="M25:M26" si="4">L25*K25</f>
        <v>12</v>
      </c>
      <c r="N25" s="19"/>
    </row>
    <row r="26" spans="1:14" ht="18.75" x14ac:dyDescent="0.25">
      <c r="A26" s="4" t="s">
        <v>23</v>
      </c>
      <c r="B26" s="4" t="s">
        <v>2</v>
      </c>
      <c r="C26" s="4">
        <v>6</v>
      </c>
      <c r="D26" s="4" t="s">
        <v>52</v>
      </c>
      <c r="E26" s="4">
        <v>5</v>
      </c>
      <c r="F26" s="4">
        <v>6</v>
      </c>
      <c r="G26" s="4">
        <v>6</v>
      </c>
      <c r="H26" s="4">
        <v>5</v>
      </c>
      <c r="I26" s="4"/>
      <c r="J26" s="4"/>
      <c r="K26" s="4">
        <f>((E26+F26)/2+G26+H26+I26+J26)/3</f>
        <v>5.5</v>
      </c>
      <c r="L26" s="4">
        <v>1</v>
      </c>
      <c r="M26" s="4">
        <f t="shared" si="4"/>
        <v>5.5</v>
      </c>
      <c r="N26" s="19"/>
    </row>
    <row r="27" spans="1:14" ht="18.75" x14ac:dyDescent="0.3">
      <c r="A27" s="2" t="s">
        <v>50</v>
      </c>
      <c r="B27" s="2"/>
      <c r="C27" s="2"/>
      <c r="D27" s="2"/>
      <c r="E27" s="18" t="s">
        <v>11</v>
      </c>
      <c r="F27" s="18"/>
      <c r="G27" s="18"/>
      <c r="H27" s="18"/>
      <c r="I27" s="18"/>
      <c r="J27" s="18"/>
      <c r="K27" s="2"/>
      <c r="L27" s="2"/>
      <c r="M27" s="2"/>
    </row>
    <row r="28" spans="1:14" ht="18.75" x14ac:dyDescent="0.25">
      <c r="A28" s="4" t="s">
        <v>8</v>
      </c>
      <c r="B28" s="6" t="s">
        <v>7</v>
      </c>
      <c r="C28" s="4" t="s">
        <v>9</v>
      </c>
      <c r="D28" s="4" t="s">
        <v>10</v>
      </c>
      <c r="E28" s="4" t="s">
        <v>12</v>
      </c>
      <c r="F28" s="4" t="s">
        <v>13</v>
      </c>
      <c r="G28" s="4"/>
      <c r="H28" s="4"/>
      <c r="I28" s="4"/>
      <c r="J28" s="4"/>
      <c r="K28" s="6" t="s">
        <v>14</v>
      </c>
      <c r="L28" s="4" t="s">
        <v>15</v>
      </c>
      <c r="M28" s="4" t="s">
        <v>16</v>
      </c>
      <c r="N28" s="7" t="s">
        <v>18</v>
      </c>
    </row>
    <row r="29" spans="1:14" ht="18.75" x14ac:dyDescent="0.25">
      <c r="A29" s="4" t="s">
        <v>29</v>
      </c>
      <c r="B29" s="4" t="s">
        <v>0</v>
      </c>
      <c r="C29" s="4">
        <v>10</v>
      </c>
      <c r="D29" s="4" t="s">
        <v>53</v>
      </c>
      <c r="E29" s="4">
        <v>5</v>
      </c>
      <c r="F29" s="4">
        <v>7</v>
      </c>
      <c r="G29" s="4">
        <v>6</v>
      </c>
      <c r="H29" s="4">
        <v>7</v>
      </c>
      <c r="I29" s="4"/>
      <c r="J29" s="4"/>
      <c r="K29" s="4">
        <f>((E29+F29)/2+G29+H29+I29+J29)/3</f>
        <v>6.333333333333333</v>
      </c>
      <c r="L29" s="4">
        <v>3</v>
      </c>
      <c r="M29" s="4">
        <f>L29*K29</f>
        <v>19</v>
      </c>
      <c r="N29" s="19">
        <f>M29+M30+M31</f>
        <v>35.5</v>
      </c>
    </row>
    <row r="30" spans="1:14" ht="18.75" x14ac:dyDescent="0.25">
      <c r="A30" s="4" t="s">
        <v>29</v>
      </c>
      <c r="B30" s="4" t="s">
        <v>1</v>
      </c>
      <c r="C30" s="4">
        <v>12</v>
      </c>
      <c r="D30" s="4" t="s">
        <v>54</v>
      </c>
      <c r="E30" s="4">
        <v>5</v>
      </c>
      <c r="F30" s="4">
        <v>7</v>
      </c>
      <c r="G30" s="4">
        <v>5</v>
      </c>
      <c r="H30" s="4">
        <v>6</v>
      </c>
      <c r="I30" s="4"/>
      <c r="J30" s="4"/>
      <c r="K30" s="4">
        <f>((E30+F30)/2+G30+H30+I30+J30)/3</f>
        <v>5.666666666666667</v>
      </c>
      <c r="L30" s="4">
        <v>2</v>
      </c>
      <c r="M30" s="4">
        <f t="shared" ref="M30:M31" si="5">L30*K30</f>
        <v>11.333333333333334</v>
      </c>
      <c r="N30" s="19"/>
    </row>
    <row r="31" spans="1:14" ht="18.75" x14ac:dyDescent="0.25">
      <c r="A31" s="4" t="s">
        <v>29</v>
      </c>
      <c r="B31" s="4" t="s">
        <v>2</v>
      </c>
      <c r="C31" s="4">
        <v>9</v>
      </c>
      <c r="D31" s="4" t="s">
        <v>54</v>
      </c>
      <c r="E31" s="4">
        <v>5</v>
      </c>
      <c r="F31" s="4">
        <v>6</v>
      </c>
      <c r="G31" s="4">
        <v>5</v>
      </c>
      <c r="H31" s="4">
        <v>5</v>
      </c>
      <c r="I31" s="4"/>
      <c r="J31" s="4"/>
      <c r="K31" s="4">
        <f>((E31+F31)/2+G31+H31+I31+J31)/3</f>
        <v>5.166666666666667</v>
      </c>
      <c r="L31" s="4">
        <v>1</v>
      </c>
      <c r="M31" s="4">
        <f t="shared" si="5"/>
        <v>5.166666666666667</v>
      </c>
      <c r="N31" s="19"/>
    </row>
    <row r="32" spans="1:14" ht="18.75" x14ac:dyDescent="0.3">
      <c r="A32" s="2" t="s">
        <v>50</v>
      </c>
      <c r="B32" s="2"/>
      <c r="C32" s="2"/>
      <c r="D32" s="2"/>
      <c r="E32" s="18" t="s">
        <v>11</v>
      </c>
      <c r="F32" s="18"/>
      <c r="G32" s="18"/>
      <c r="H32" s="18"/>
      <c r="I32" s="18"/>
      <c r="J32" s="18"/>
      <c r="K32" s="2"/>
      <c r="L32" s="2"/>
      <c r="M32" s="2"/>
    </row>
    <row r="33" spans="1:14" ht="18.75" x14ac:dyDescent="0.25">
      <c r="A33" s="4" t="s">
        <v>8</v>
      </c>
      <c r="B33" s="6" t="s">
        <v>7</v>
      </c>
      <c r="C33" s="4" t="s">
        <v>9</v>
      </c>
      <c r="D33" s="4" t="s">
        <v>10</v>
      </c>
      <c r="E33" s="4" t="s">
        <v>12</v>
      </c>
      <c r="F33" s="4" t="s">
        <v>13</v>
      </c>
      <c r="G33" s="4"/>
      <c r="H33" s="4"/>
      <c r="I33" s="4"/>
      <c r="J33" s="4"/>
      <c r="K33" s="6" t="s">
        <v>14</v>
      </c>
      <c r="L33" s="4" t="s">
        <v>15</v>
      </c>
      <c r="M33" s="4" t="s">
        <v>16</v>
      </c>
      <c r="N33" s="7" t="s">
        <v>18</v>
      </c>
    </row>
    <row r="34" spans="1:14" ht="18.75" x14ac:dyDescent="0.25">
      <c r="A34" s="4" t="s">
        <v>32</v>
      </c>
      <c r="B34" s="4" t="s">
        <v>0</v>
      </c>
      <c r="C34" s="4">
        <v>6</v>
      </c>
      <c r="D34" s="4" t="s">
        <v>55</v>
      </c>
      <c r="E34" s="4">
        <v>7</v>
      </c>
      <c r="F34" s="4">
        <v>8</v>
      </c>
      <c r="G34" s="4">
        <v>7</v>
      </c>
      <c r="H34" s="4">
        <v>7</v>
      </c>
      <c r="I34" s="4"/>
      <c r="J34" s="4"/>
      <c r="K34" s="4">
        <f>((E34+F34)/2+G34+H34+I34+J34)/3</f>
        <v>7.166666666666667</v>
      </c>
      <c r="L34" s="4">
        <v>3</v>
      </c>
      <c r="M34" s="4">
        <f>L34*K34</f>
        <v>21.5</v>
      </c>
      <c r="N34" s="19">
        <f>M34+M35+M36</f>
        <v>43.5</v>
      </c>
    </row>
    <row r="35" spans="1:14" ht="18.75" x14ac:dyDescent="0.25">
      <c r="A35" s="4" t="s">
        <v>32</v>
      </c>
      <c r="B35" s="4" t="s">
        <v>1</v>
      </c>
      <c r="C35" s="4">
        <v>10</v>
      </c>
      <c r="D35" s="4" t="s">
        <v>56</v>
      </c>
      <c r="E35" s="4">
        <v>6</v>
      </c>
      <c r="F35" s="4">
        <v>8</v>
      </c>
      <c r="G35" s="4">
        <v>8</v>
      </c>
      <c r="H35" s="4">
        <v>8</v>
      </c>
      <c r="I35" s="4"/>
      <c r="J35" s="4"/>
      <c r="K35" s="4">
        <f>((E35+F35)/2+G35+H35+I35+J35)/3</f>
        <v>7.666666666666667</v>
      </c>
      <c r="L35" s="4">
        <v>2</v>
      </c>
      <c r="M35" s="4">
        <f t="shared" ref="M35:M36" si="6">L35*K35</f>
        <v>15.333333333333334</v>
      </c>
      <c r="N35" s="19"/>
    </row>
    <row r="36" spans="1:14" ht="18.75" x14ac:dyDescent="0.25">
      <c r="A36" s="4" t="s">
        <v>32</v>
      </c>
      <c r="B36" s="4" t="s">
        <v>2</v>
      </c>
      <c r="C36" s="4">
        <v>12</v>
      </c>
      <c r="D36" s="4" t="s">
        <v>57</v>
      </c>
      <c r="E36" s="4">
        <v>6</v>
      </c>
      <c r="F36" s="4">
        <v>8</v>
      </c>
      <c r="G36" s="4">
        <v>6</v>
      </c>
      <c r="H36" s="4">
        <v>7</v>
      </c>
      <c r="I36" s="4"/>
      <c r="J36" s="4"/>
      <c r="K36" s="4">
        <f>((E36+F36)/2+G36+H36+I36+J36)/3</f>
        <v>6.666666666666667</v>
      </c>
      <c r="L36" s="4">
        <v>1</v>
      </c>
      <c r="M36" s="4">
        <f t="shared" si="6"/>
        <v>6.666666666666667</v>
      </c>
      <c r="N36" s="19"/>
    </row>
    <row r="37" spans="1:14" ht="18.75" x14ac:dyDescent="0.3">
      <c r="A37" s="2" t="s">
        <v>50</v>
      </c>
      <c r="B37" s="2"/>
      <c r="C37" s="2">
        <v>14</v>
      </c>
      <c r="D37" s="2"/>
      <c r="E37" s="18" t="s">
        <v>11</v>
      </c>
      <c r="F37" s="18"/>
      <c r="G37" s="18"/>
      <c r="H37" s="18"/>
      <c r="I37" s="18"/>
      <c r="J37" s="18"/>
      <c r="K37" s="2"/>
      <c r="L37" s="2"/>
      <c r="M37" s="2"/>
    </row>
    <row r="38" spans="1:14" ht="18.75" x14ac:dyDescent="0.25">
      <c r="A38" s="4" t="s">
        <v>8</v>
      </c>
      <c r="B38" s="6" t="s">
        <v>7</v>
      </c>
      <c r="C38" s="4" t="s">
        <v>9</v>
      </c>
      <c r="D38" s="4" t="s">
        <v>10</v>
      </c>
      <c r="E38" s="4" t="s">
        <v>12</v>
      </c>
      <c r="F38" s="4" t="s">
        <v>13</v>
      </c>
      <c r="G38" s="4"/>
      <c r="H38" s="4"/>
      <c r="I38" s="4"/>
      <c r="J38" s="4"/>
      <c r="K38" s="6" t="s">
        <v>14</v>
      </c>
      <c r="L38" s="4" t="s">
        <v>15</v>
      </c>
      <c r="M38" s="4" t="s">
        <v>16</v>
      </c>
      <c r="N38" s="7" t="s">
        <v>18</v>
      </c>
    </row>
    <row r="39" spans="1:14" ht="18.75" x14ac:dyDescent="0.25">
      <c r="A39" s="4" t="s">
        <v>28</v>
      </c>
      <c r="B39" s="4" t="s">
        <v>0</v>
      </c>
      <c r="C39" s="4">
        <v>9</v>
      </c>
      <c r="D39" s="4" t="s">
        <v>58</v>
      </c>
      <c r="E39" s="4">
        <v>6</v>
      </c>
      <c r="F39" s="4">
        <v>7</v>
      </c>
      <c r="G39" s="4">
        <v>6</v>
      </c>
      <c r="H39" s="4">
        <v>6</v>
      </c>
      <c r="I39" s="4"/>
      <c r="J39" s="4"/>
      <c r="K39" s="4">
        <f>((E39+F39)/2+G39+H39+I39+J39)/3</f>
        <v>6.166666666666667</v>
      </c>
      <c r="L39" s="4">
        <v>3</v>
      </c>
      <c r="M39" s="4">
        <f>L39*K39</f>
        <v>18.5</v>
      </c>
      <c r="N39" s="19">
        <f>M39+M40+M41</f>
        <v>41.333333333333336</v>
      </c>
    </row>
    <row r="40" spans="1:14" ht="18.75" x14ac:dyDescent="0.25">
      <c r="A40" s="4" t="s">
        <v>28</v>
      </c>
      <c r="B40" s="4" t="s">
        <v>1</v>
      </c>
      <c r="C40" s="4">
        <v>6</v>
      </c>
      <c r="D40" s="4" t="s">
        <v>59</v>
      </c>
      <c r="E40" s="4">
        <v>7</v>
      </c>
      <c r="F40" s="4">
        <v>9</v>
      </c>
      <c r="G40" s="4">
        <v>7</v>
      </c>
      <c r="H40" s="4">
        <v>8</v>
      </c>
      <c r="I40" s="4"/>
      <c r="J40" s="4"/>
      <c r="K40" s="4">
        <f>((E40+F40)/2+G40+H40+I40+J40)/3</f>
        <v>7.666666666666667</v>
      </c>
      <c r="L40" s="4">
        <v>2</v>
      </c>
      <c r="M40" s="4">
        <f t="shared" ref="M40:M41" si="7">L40*K40</f>
        <v>15.333333333333334</v>
      </c>
      <c r="N40" s="19"/>
    </row>
    <row r="41" spans="1:14" ht="18.75" x14ac:dyDescent="0.25">
      <c r="A41" s="4" t="s">
        <v>28</v>
      </c>
      <c r="B41" s="4" t="s">
        <v>2</v>
      </c>
      <c r="C41" s="4">
        <v>10</v>
      </c>
      <c r="D41" s="4" t="s">
        <v>60</v>
      </c>
      <c r="E41" s="4">
        <v>7</v>
      </c>
      <c r="F41" s="4">
        <v>8</v>
      </c>
      <c r="G41" s="4">
        <v>7</v>
      </c>
      <c r="H41" s="4">
        <v>8</v>
      </c>
      <c r="I41" s="4"/>
      <c r="J41" s="4"/>
      <c r="K41" s="4">
        <f>((E41+F41)/2+G41+H41+I41+J41)/3</f>
        <v>7.5</v>
      </c>
      <c r="L41" s="4">
        <v>1</v>
      </c>
      <c r="M41" s="4">
        <f t="shared" si="7"/>
        <v>7.5</v>
      </c>
      <c r="N41" s="19"/>
    </row>
    <row r="42" spans="1:14" ht="18.75" x14ac:dyDescent="0.3">
      <c r="A42" s="2" t="s">
        <v>19</v>
      </c>
      <c r="B42" s="2"/>
      <c r="C42" s="2"/>
      <c r="D42" s="2"/>
      <c r="E42" s="18" t="s">
        <v>11</v>
      </c>
      <c r="F42" s="18"/>
      <c r="G42" s="18"/>
      <c r="H42" s="18"/>
      <c r="I42" s="18"/>
      <c r="J42" s="18"/>
      <c r="K42" s="2"/>
      <c r="L42" s="2"/>
      <c r="M42" s="2"/>
    </row>
    <row r="43" spans="1:14" ht="18.75" x14ac:dyDescent="0.25">
      <c r="A43" s="4" t="s">
        <v>8</v>
      </c>
      <c r="B43" s="6" t="s">
        <v>7</v>
      </c>
      <c r="C43" s="4" t="s">
        <v>9</v>
      </c>
      <c r="D43" s="4" t="s">
        <v>10</v>
      </c>
      <c r="E43" s="4" t="s">
        <v>12</v>
      </c>
      <c r="F43" s="4" t="s">
        <v>13</v>
      </c>
      <c r="G43" s="4"/>
      <c r="H43" s="4"/>
      <c r="I43" s="4"/>
      <c r="J43" s="4"/>
      <c r="K43" s="6" t="s">
        <v>14</v>
      </c>
      <c r="L43" s="4" t="s">
        <v>15</v>
      </c>
      <c r="M43" s="4" t="s">
        <v>16</v>
      </c>
      <c r="N43" s="7" t="s">
        <v>18</v>
      </c>
    </row>
    <row r="44" spans="1:14" ht="18.75" x14ac:dyDescent="0.25">
      <c r="A44" s="4" t="s">
        <v>34</v>
      </c>
      <c r="B44" s="4" t="s">
        <v>0</v>
      </c>
      <c r="C44" s="4">
        <v>3</v>
      </c>
      <c r="D44" s="4" t="s">
        <v>61</v>
      </c>
      <c r="E44" s="4">
        <v>6</v>
      </c>
      <c r="F44" s="4">
        <v>8</v>
      </c>
      <c r="G44" s="4">
        <v>6</v>
      </c>
      <c r="H44" s="4">
        <v>7</v>
      </c>
      <c r="I44" s="4"/>
      <c r="J44" s="4"/>
      <c r="K44" s="4">
        <f>((E44+F44)/2+G44+H44+I44+J44)/3</f>
        <v>6.666666666666667</v>
      </c>
      <c r="L44" s="4">
        <v>3</v>
      </c>
      <c r="M44" s="4">
        <f>L44*K44</f>
        <v>20</v>
      </c>
      <c r="N44" s="19">
        <f>M44+M45+M46</f>
        <v>41.5</v>
      </c>
    </row>
    <row r="45" spans="1:14" ht="18.75" x14ac:dyDescent="0.25">
      <c r="A45" s="4" t="s">
        <v>34</v>
      </c>
      <c r="B45" s="4" t="s">
        <v>1</v>
      </c>
      <c r="C45" s="4">
        <v>10</v>
      </c>
      <c r="D45" s="4" t="s">
        <v>62</v>
      </c>
      <c r="E45" s="4">
        <v>7</v>
      </c>
      <c r="F45" s="4">
        <v>8</v>
      </c>
      <c r="G45" s="4">
        <v>7</v>
      </c>
      <c r="H45" s="4">
        <v>8</v>
      </c>
      <c r="I45" s="4"/>
      <c r="J45" s="4"/>
      <c r="K45" s="4">
        <f>((E45+F45)/2+G45+H45+I45+J45)/3</f>
        <v>7.5</v>
      </c>
      <c r="L45" s="4">
        <v>2</v>
      </c>
      <c r="M45" s="4">
        <f t="shared" ref="M45:M46" si="8">L45*K45</f>
        <v>15</v>
      </c>
      <c r="N45" s="19"/>
    </row>
    <row r="46" spans="1:14" ht="18.75" x14ac:dyDescent="0.25">
      <c r="A46" s="4" t="s">
        <v>34</v>
      </c>
      <c r="B46" s="4" t="s">
        <v>2</v>
      </c>
      <c r="C46" s="4">
        <v>1</v>
      </c>
      <c r="D46" s="4" t="s">
        <v>63</v>
      </c>
      <c r="E46" s="4">
        <v>4</v>
      </c>
      <c r="F46" s="4">
        <v>7</v>
      </c>
      <c r="G46" s="4">
        <v>7</v>
      </c>
      <c r="H46" s="4">
        <v>7</v>
      </c>
      <c r="I46" s="4"/>
      <c r="J46" s="4"/>
      <c r="K46" s="4">
        <f>((E46+F46)/2+G46+H46+I46+J46)/3</f>
        <v>6.5</v>
      </c>
      <c r="L46" s="4">
        <v>1</v>
      </c>
      <c r="M46" s="4">
        <f t="shared" si="8"/>
        <v>6.5</v>
      </c>
      <c r="N46" s="19"/>
    </row>
    <row r="47" spans="1:14" ht="18.75" x14ac:dyDescent="0.3">
      <c r="A47" s="2" t="s">
        <v>19</v>
      </c>
      <c r="B47" s="2"/>
      <c r="C47" s="2"/>
      <c r="D47" s="2"/>
      <c r="E47" s="18" t="s">
        <v>11</v>
      </c>
      <c r="F47" s="18"/>
      <c r="G47" s="18"/>
      <c r="H47" s="18"/>
      <c r="I47" s="18"/>
      <c r="J47" s="18"/>
      <c r="K47" s="2"/>
      <c r="L47" s="2"/>
      <c r="M47" s="2"/>
    </row>
    <row r="48" spans="1:14" ht="18.75" x14ac:dyDescent="0.25">
      <c r="A48" s="4" t="s">
        <v>8</v>
      </c>
      <c r="B48" s="6" t="s">
        <v>7</v>
      </c>
      <c r="C48" s="4" t="s">
        <v>9</v>
      </c>
      <c r="D48" s="4" t="s">
        <v>10</v>
      </c>
      <c r="E48" s="4" t="s">
        <v>12</v>
      </c>
      <c r="F48" s="4" t="s">
        <v>13</v>
      </c>
      <c r="G48" s="4"/>
      <c r="H48" s="4"/>
      <c r="I48" s="4"/>
      <c r="J48" s="4"/>
      <c r="K48" s="6" t="s">
        <v>14</v>
      </c>
      <c r="L48" s="4" t="s">
        <v>15</v>
      </c>
      <c r="M48" s="4" t="s">
        <v>16</v>
      </c>
      <c r="N48" s="7" t="s">
        <v>18</v>
      </c>
    </row>
    <row r="49" spans="1:14" ht="18.75" x14ac:dyDescent="0.25">
      <c r="A49" s="4" t="s">
        <v>30</v>
      </c>
      <c r="B49" s="4" t="s">
        <v>0</v>
      </c>
      <c r="C49" s="4">
        <v>1</v>
      </c>
      <c r="D49" s="4" t="s">
        <v>64</v>
      </c>
      <c r="E49" s="4">
        <v>4</v>
      </c>
      <c r="F49" s="4">
        <v>6</v>
      </c>
      <c r="G49" s="4">
        <v>5</v>
      </c>
      <c r="H49" s="4">
        <v>5</v>
      </c>
      <c r="I49" s="4"/>
      <c r="J49" s="4"/>
      <c r="K49" s="4">
        <f>((E49+F49)/2+G49+H49+I49+J49)/3</f>
        <v>5</v>
      </c>
      <c r="L49" s="4">
        <v>3</v>
      </c>
      <c r="M49" s="4">
        <f>L49*K49</f>
        <v>15</v>
      </c>
      <c r="N49" s="19">
        <f>M49+M50+M51</f>
        <v>30.5</v>
      </c>
    </row>
    <row r="50" spans="1:14" ht="18.75" x14ac:dyDescent="0.25">
      <c r="A50" s="4" t="s">
        <v>30</v>
      </c>
      <c r="B50" s="4" t="s">
        <v>1</v>
      </c>
      <c r="C50" s="4">
        <v>3</v>
      </c>
      <c r="D50" s="4" t="s">
        <v>64</v>
      </c>
      <c r="E50" s="4">
        <v>4</v>
      </c>
      <c r="F50" s="4">
        <v>6</v>
      </c>
      <c r="G50" s="4">
        <v>5</v>
      </c>
      <c r="H50" s="4">
        <v>5</v>
      </c>
      <c r="I50" s="4"/>
      <c r="J50" s="4"/>
      <c r="K50" s="4">
        <f>((E50+F50)/2+G50+H50+I50+J50)/3</f>
        <v>5</v>
      </c>
      <c r="L50" s="4">
        <v>2</v>
      </c>
      <c r="M50" s="4">
        <f t="shared" ref="M50:M51" si="9">L50*K50</f>
        <v>10</v>
      </c>
      <c r="N50" s="19"/>
    </row>
    <row r="51" spans="1:14" ht="18.75" x14ac:dyDescent="0.25">
      <c r="A51" s="4" t="s">
        <v>30</v>
      </c>
      <c r="B51" s="4" t="s">
        <v>2</v>
      </c>
      <c r="C51" s="4">
        <v>10</v>
      </c>
      <c r="D51" s="4" t="s">
        <v>65</v>
      </c>
      <c r="E51" s="4">
        <v>4</v>
      </c>
      <c r="F51" s="4">
        <v>7</v>
      </c>
      <c r="G51" s="4">
        <v>5</v>
      </c>
      <c r="H51" s="4">
        <v>6</v>
      </c>
      <c r="I51" s="4"/>
      <c r="J51" s="4"/>
      <c r="K51" s="4">
        <f>((E51+F51)/2+G51+H51+I51+J51)/3</f>
        <v>5.5</v>
      </c>
      <c r="L51" s="4">
        <v>1</v>
      </c>
      <c r="M51" s="4">
        <f t="shared" si="9"/>
        <v>5.5</v>
      </c>
      <c r="N51" s="19"/>
    </row>
    <row r="52" spans="1:14" ht="18.75" x14ac:dyDescent="0.3">
      <c r="A52" s="2" t="s">
        <v>19</v>
      </c>
      <c r="B52" s="2"/>
      <c r="C52" s="2"/>
      <c r="D52" s="2"/>
      <c r="E52" s="18" t="s">
        <v>11</v>
      </c>
      <c r="F52" s="18"/>
      <c r="G52" s="18"/>
      <c r="H52" s="18"/>
      <c r="I52" s="18"/>
      <c r="J52" s="18"/>
      <c r="K52" s="2"/>
      <c r="L52" s="2"/>
      <c r="M52" s="2"/>
    </row>
    <row r="53" spans="1:14" ht="18.75" x14ac:dyDescent="0.25">
      <c r="A53" s="4" t="s">
        <v>8</v>
      </c>
      <c r="B53" s="6" t="s">
        <v>7</v>
      </c>
      <c r="C53" s="4" t="s">
        <v>9</v>
      </c>
      <c r="D53" s="4" t="s">
        <v>10</v>
      </c>
      <c r="E53" s="4" t="s">
        <v>12</v>
      </c>
      <c r="F53" s="4" t="s">
        <v>13</v>
      </c>
      <c r="G53" s="4"/>
      <c r="H53" s="4"/>
      <c r="I53" s="4"/>
      <c r="J53" s="4"/>
      <c r="K53" s="6" t="s">
        <v>14</v>
      </c>
      <c r="L53" s="4" t="s">
        <v>15</v>
      </c>
      <c r="M53" s="4" t="s">
        <v>16</v>
      </c>
      <c r="N53" s="7" t="s">
        <v>18</v>
      </c>
    </row>
    <row r="54" spans="1:14" ht="18.75" x14ac:dyDescent="0.25">
      <c r="A54" s="4" t="s">
        <v>66</v>
      </c>
      <c r="B54" s="4" t="s">
        <v>0</v>
      </c>
      <c r="C54" s="4">
        <v>10</v>
      </c>
      <c r="D54" s="4" t="s">
        <v>67</v>
      </c>
      <c r="E54" s="4">
        <v>4</v>
      </c>
      <c r="F54" s="4">
        <v>8</v>
      </c>
      <c r="G54" s="4">
        <v>7</v>
      </c>
      <c r="H54" s="4">
        <v>6</v>
      </c>
      <c r="I54" s="4"/>
      <c r="J54" s="4"/>
      <c r="K54" s="4">
        <f>((E54+F54)/2+G54+H54+I54+J54)/3</f>
        <v>6.333333333333333</v>
      </c>
      <c r="L54" s="4">
        <v>3</v>
      </c>
      <c r="M54" s="4">
        <f>L54*K54</f>
        <v>19</v>
      </c>
      <c r="N54" s="19">
        <f>M54+M55+M56</f>
        <v>39.166666666666671</v>
      </c>
    </row>
    <row r="55" spans="1:14" ht="18.75" x14ac:dyDescent="0.25">
      <c r="A55" s="4" t="s">
        <v>66</v>
      </c>
      <c r="B55" s="4" t="s">
        <v>1</v>
      </c>
      <c r="C55" s="4">
        <v>1</v>
      </c>
      <c r="D55" s="4" t="s">
        <v>67</v>
      </c>
      <c r="E55" s="4">
        <v>5</v>
      </c>
      <c r="F55" s="4">
        <v>7</v>
      </c>
      <c r="G55" s="4">
        <v>7</v>
      </c>
      <c r="H55" s="4">
        <v>7</v>
      </c>
      <c r="I55" s="4"/>
      <c r="J55" s="4"/>
      <c r="K55" s="4">
        <f>((E55+F55)/2+G55+H55+I55+J55)/3</f>
        <v>6.666666666666667</v>
      </c>
      <c r="L55" s="4">
        <v>2</v>
      </c>
      <c r="M55" s="4">
        <f t="shared" ref="M55:M56" si="10">L55*K55</f>
        <v>13.333333333333334</v>
      </c>
      <c r="N55" s="19"/>
    </row>
    <row r="56" spans="1:14" ht="18.75" x14ac:dyDescent="0.25">
      <c r="A56" s="4" t="s">
        <v>66</v>
      </c>
      <c r="B56" s="4" t="s">
        <v>2</v>
      </c>
      <c r="C56" s="4">
        <v>2</v>
      </c>
      <c r="D56" s="4" t="s">
        <v>68</v>
      </c>
      <c r="E56" s="4">
        <v>6</v>
      </c>
      <c r="F56" s="4">
        <v>7</v>
      </c>
      <c r="G56" s="4">
        <v>7</v>
      </c>
      <c r="H56" s="4">
        <v>7</v>
      </c>
      <c r="I56" s="4"/>
      <c r="J56" s="4"/>
      <c r="K56" s="4">
        <f>((E56+F56)/2+G56+H56+I56+J56)/3</f>
        <v>6.833333333333333</v>
      </c>
      <c r="L56" s="4">
        <v>1</v>
      </c>
      <c r="M56" s="4">
        <f t="shared" si="10"/>
        <v>6.833333333333333</v>
      </c>
      <c r="N56" s="19"/>
    </row>
    <row r="57" spans="1:14" ht="18.75" x14ac:dyDescent="0.3">
      <c r="A57" s="2" t="s">
        <v>6</v>
      </c>
      <c r="B57" s="2"/>
      <c r="C57" s="2"/>
      <c r="D57" s="2"/>
      <c r="E57" s="18" t="s">
        <v>11</v>
      </c>
      <c r="F57" s="18"/>
      <c r="G57" s="18"/>
      <c r="H57" s="18"/>
      <c r="I57" s="18"/>
      <c r="J57" s="18"/>
      <c r="K57" s="2"/>
      <c r="L57" s="2"/>
      <c r="M57" s="2"/>
    </row>
    <row r="58" spans="1:14" ht="18.75" x14ac:dyDescent="0.25">
      <c r="A58" s="4" t="s">
        <v>8</v>
      </c>
      <c r="B58" s="6" t="s">
        <v>7</v>
      </c>
      <c r="C58" s="4" t="s">
        <v>9</v>
      </c>
      <c r="D58" s="4" t="s">
        <v>10</v>
      </c>
      <c r="E58" s="4" t="s">
        <v>12</v>
      </c>
      <c r="F58" s="4" t="s">
        <v>13</v>
      </c>
      <c r="G58" s="4"/>
      <c r="H58" s="4"/>
      <c r="I58" s="4"/>
      <c r="J58" s="4"/>
      <c r="K58" s="6" t="s">
        <v>14</v>
      </c>
      <c r="L58" s="4" t="s">
        <v>15</v>
      </c>
      <c r="M58" s="4" t="s">
        <v>16</v>
      </c>
      <c r="N58" s="7" t="s">
        <v>18</v>
      </c>
    </row>
    <row r="59" spans="1:14" ht="18.75" x14ac:dyDescent="0.25">
      <c r="A59" s="4" t="s">
        <v>69</v>
      </c>
      <c r="B59" s="4" t="s">
        <v>0</v>
      </c>
      <c r="C59" s="4">
        <v>4</v>
      </c>
      <c r="D59" s="4" t="s">
        <v>70</v>
      </c>
      <c r="E59" s="4">
        <v>5</v>
      </c>
      <c r="F59" s="4">
        <v>6</v>
      </c>
      <c r="G59" s="4">
        <v>6</v>
      </c>
      <c r="H59" s="4">
        <v>6</v>
      </c>
      <c r="I59" s="4"/>
      <c r="J59" s="4"/>
      <c r="K59" s="4">
        <f>((E59+F59)/2+G59+H59+I59+J59)/3</f>
        <v>5.833333333333333</v>
      </c>
      <c r="L59" s="4">
        <v>3</v>
      </c>
      <c r="M59" s="4">
        <f>L59*K59</f>
        <v>17.5</v>
      </c>
      <c r="N59" s="19">
        <f>M59+M60+M61</f>
        <v>32.833333333333336</v>
      </c>
    </row>
    <row r="60" spans="1:14" ht="18.75" x14ac:dyDescent="0.25">
      <c r="A60" s="4" t="s">
        <v>69</v>
      </c>
      <c r="B60" s="4" t="s">
        <v>1</v>
      </c>
      <c r="C60" s="4">
        <v>6</v>
      </c>
      <c r="D60" s="4" t="s">
        <v>71</v>
      </c>
      <c r="E60" s="4">
        <v>5</v>
      </c>
      <c r="F60" s="4">
        <v>6</v>
      </c>
      <c r="G60" s="4">
        <v>5</v>
      </c>
      <c r="H60" s="4">
        <v>5</v>
      </c>
      <c r="I60" s="4"/>
      <c r="J60" s="4"/>
      <c r="K60" s="4">
        <f>((E60+F60)/2+G60+H60+I60+J60)/3</f>
        <v>5.166666666666667</v>
      </c>
      <c r="L60" s="4">
        <v>2</v>
      </c>
      <c r="M60" s="4">
        <f t="shared" ref="M60:M61" si="11">L60*K60</f>
        <v>10.333333333333334</v>
      </c>
      <c r="N60" s="19"/>
    </row>
    <row r="61" spans="1:14" ht="18.75" x14ac:dyDescent="0.25">
      <c r="A61" s="4" t="s">
        <v>69</v>
      </c>
      <c r="B61" s="4" t="s">
        <v>2</v>
      </c>
      <c r="C61" s="4">
        <v>2</v>
      </c>
      <c r="D61" s="4" t="s">
        <v>72</v>
      </c>
      <c r="E61" s="4">
        <v>4</v>
      </c>
      <c r="F61" s="4">
        <v>6</v>
      </c>
      <c r="G61" s="4">
        <v>5</v>
      </c>
      <c r="H61" s="4">
        <v>5</v>
      </c>
      <c r="I61" s="4"/>
      <c r="J61" s="4"/>
      <c r="K61" s="4">
        <f>((E61+F61)/2+G61+H61+I61+J61)/3</f>
        <v>5</v>
      </c>
      <c r="L61" s="4">
        <v>1</v>
      </c>
      <c r="M61" s="4">
        <f t="shared" si="11"/>
        <v>5</v>
      </c>
      <c r="N61" s="19"/>
    </row>
    <row r="62" spans="1:14" ht="18.75" x14ac:dyDescent="0.3">
      <c r="A62" s="2" t="s">
        <v>6</v>
      </c>
      <c r="B62" s="2">
        <v>7</v>
      </c>
      <c r="C62" s="2"/>
      <c r="D62" s="2"/>
      <c r="E62" s="18" t="s">
        <v>11</v>
      </c>
      <c r="F62" s="18"/>
      <c r="G62" s="18"/>
      <c r="H62" s="18"/>
      <c r="I62" s="18"/>
      <c r="J62" s="18"/>
      <c r="K62" s="2"/>
      <c r="L62" s="2"/>
      <c r="M62" s="2"/>
    </row>
    <row r="63" spans="1:14" ht="18.75" x14ac:dyDescent="0.25">
      <c r="A63" s="4" t="s">
        <v>8</v>
      </c>
      <c r="B63" s="6" t="s">
        <v>7</v>
      </c>
      <c r="C63" s="4" t="s">
        <v>9</v>
      </c>
      <c r="D63" s="4" t="s">
        <v>10</v>
      </c>
      <c r="E63" s="4" t="s">
        <v>12</v>
      </c>
      <c r="F63" s="4" t="s">
        <v>13</v>
      </c>
      <c r="G63" s="4"/>
      <c r="H63" s="4"/>
      <c r="I63" s="4"/>
      <c r="J63" s="4"/>
      <c r="K63" s="6" t="s">
        <v>14</v>
      </c>
      <c r="L63" s="4" t="s">
        <v>15</v>
      </c>
      <c r="M63" s="4" t="s">
        <v>16</v>
      </c>
      <c r="N63" s="7" t="s">
        <v>18</v>
      </c>
    </row>
    <row r="64" spans="1:14" ht="18.75" x14ac:dyDescent="0.25">
      <c r="A64" s="4" t="s">
        <v>73</v>
      </c>
      <c r="B64" s="4" t="s">
        <v>0</v>
      </c>
      <c r="C64" s="4">
        <v>2</v>
      </c>
      <c r="D64" s="4" t="s">
        <v>74</v>
      </c>
      <c r="E64" s="4">
        <v>5</v>
      </c>
      <c r="F64" s="4">
        <v>6</v>
      </c>
      <c r="G64" s="4">
        <v>5</v>
      </c>
      <c r="H64" s="4">
        <v>6</v>
      </c>
      <c r="I64" s="4"/>
      <c r="J64" s="4"/>
      <c r="K64" s="4">
        <f>((E64+F64)/2+G64+H64+I64+J64)/3</f>
        <v>5.5</v>
      </c>
      <c r="L64" s="4">
        <v>3</v>
      </c>
      <c r="M64" s="4">
        <f>L64*K64</f>
        <v>16.5</v>
      </c>
      <c r="N64" s="19">
        <f>M64+M65+M66</f>
        <v>33.333333333333336</v>
      </c>
    </row>
    <row r="65" spans="1:14" ht="18.75" x14ac:dyDescent="0.25">
      <c r="A65" s="4" t="s">
        <v>73</v>
      </c>
      <c r="B65" s="4" t="s">
        <v>1</v>
      </c>
      <c r="C65" s="4">
        <v>4</v>
      </c>
      <c r="D65" s="4" t="s">
        <v>75</v>
      </c>
      <c r="E65" s="4">
        <v>3</v>
      </c>
      <c r="F65" s="4">
        <v>7</v>
      </c>
      <c r="G65" s="4">
        <v>6</v>
      </c>
      <c r="H65" s="4">
        <v>6</v>
      </c>
      <c r="I65" s="4"/>
      <c r="J65" s="4"/>
      <c r="K65" s="4">
        <f>((E65+F65)/2+G65+H65+I65+J65)/3</f>
        <v>5.666666666666667</v>
      </c>
      <c r="L65" s="4">
        <v>2</v>
      </c>
      <c r="M65" s="4">
        <f t="shared" ref="M65:M66" si="12">L65*K65</f>
        <v>11.333333333333334</v>
      </c>
      <c r="N65" s="19"/>
    </row>
    <row r="66" spans="1:14" ht="18.75" x14ac:dyDescent="0.25">
      <c r="A66" s="4" t="s">
        <v>73</v>
      </c>
      <c r="B66" s="4" t="s">
        <v>2</v>
      </c>
      <c r="C66" s="4">
        <v>6</v>
      </c>
      <c r="D66" s="4" t="s">
        <v>75</v>
      </c>
      <c r="E66" s="4">
        <v>5</v>
      </c>
      <c r="F66" s="4">
        <v>6</v>
      </c>
      <c r="G66" s="4">
        <v>5</v>
      </c>
      <c r="H66" s="4">
        <v>6</v>
      </c>
      <c r="I66" s="4"/>
      <c r="J66" s="4"/>
      <c r="K66" s="4">
        <f>((E66+F66)/2+G66+H66+I66+J66)/3</f>
        <v>5.5</v>
      </c>
      <c r="L66" s="4">
        <v>1</v>
      </c>
      <c r="M66" s="4">
        <f t="shared" si="12"/>
        <v>5.5</v>
      </c>
      <c r="N66" s="19"/>
    </row>
    <row r="67" spans="1:14" ht="18.75" x14ac:dyDescent="0.3">
      <c r="A67" s="2" t="s">
        <v>6</v>
      </c>
      <c r="B67" s="2"/>
      <c r="C67" s="2"/>
      <c r="D67" s="2"/>
      <c r="E67" s="18" t="s">
        <v>11</v>
      </c>
      <c r="F67" s="18"/>
      <c r="G67" s="18"/>
      <c r="H67" s="18"/>
      <c r="I67" s="18"/>
      <c r="J67" s="18"/>
      <c r="K67" s="2"/>
      <c r="L67" s="2"/>
      <c r="M67" s="2"/>
    </row>
    <row r="68" spans="1:14" ht="18.75" x14ac:dyDescent="0.25">
      <c r="A68" s="4" t="s">
        <v>8</v>
      </c>
      <c r="B68" s="6" t="s">
        <v>7</v>
      </c>
      <c r="C68" s="4" t="s">
        <v>9</v>
      </c>
      <c r="D68" s="4" t="s">
        <v>10</v>
      </c>
      <c r="E68" s="4" t="s">
        <v>12</v>
      </c>
      <c r="F68" s="4" t="s">
        <v>13</v>
      </c>
      <c r="G68" s="4"/>
      <c r="H68" s="4"/>
      <c r="I68" s="4"/>
      <c r="J68" s="4"/>
      <c r="K68" s="6" t="s">
        <v>14</v>
      </c>
      <c r="L68" s="4" t="s">
        <v>15</v>
      </c>
      <c r="M68" s="4" t="s">
        <v>16</v>
      </c>
      <c r="N68" s="7" t="s">
        <v>18</v>
      </c>
    </row>
    <row r="69" spans="1:14" ht="18.75" x14ac:dyDescent="0.25">
      <c r="A69" s="4" t="s">
        <v>20</v>
      </c>
      <c r="B69" s="4" t="s">
        <v>0</v>
      </c>
      <c r="C69" s="4">
        <v>6</v>
      </c>
      <c r="D69" s="4" t="s">
        <v>76</v>
      </c>
      <c r="E69" s="4">
        <v>2</v>
      </c>
      <c r="F69" s="4">
        <v>5</v>
      </c>
      <c r="G69" s="4">
        <v>4</v>
      </c>
      <c r="H69" s="4">
        <v>5</v>
      </c>
      <c r="I69" s="4"/>
      <c r="J69" s="4"/>
      <c r="K69" s="4">
        <f>((E69+F69)/2+G69+H69+I69+J69)/3</f>
        <v>4.166666666666667</v>
      </c>
      <c r="L69" s="4">
        <v>3</v>
      </c>
      <c r="M69" s="4">
        <f>L69*K69</f>
        <v>12.5</v>
      </c>
      <c r="N69" s="19">
        <f>M69+M70+M71</f>
        <v>29.833333333333332</v>
      </c>
    </row>
    <row r="70" spans="1:14" ht="18.75" x14ac:dyDescent="0.25">
      <c r="A70" s="4" t="s">
        <v>20</v>
      </c>
      <c r="B70" s="4" t="s">
        <v>1</v>
      </c>
      <c r="C70" s="4">
        <v>2</v>
      </c>
      <c r="D70" s="4" t="s">
        <v>77</v>
      </c>
      <c r="E70" s="4">
        <v>5</v>
      </c>
      <c r="F70" s="4">
        <v>6</v>
      </c>
      <c r="G70" s="4">
        <v>6</v>
      </c>
      <c r="H70" s="4">
        <v>6</v>
      </c>
      <c r="I70" s="4"/>
      <c r="J70" s="4"/>
      <c r="K70" s="4">
        <f>((E70+F70)/2+G70+H70+I70+J70)/3</f>
        <v>5.833333333333333</v>
      </c>
      <c r="L70" s="4">
        <v>2</v>
      </c>
      <c r="M70" s="4">
        <f t="shared" ref="M70:M71" si="13">L70*K70</f>
        <v>11.666666666666666</v>
      </c>
      <c r="N70" s="19"/>
    </row>
    <row r="71" spans="1:14" ht="18.75" x14ac:dyDescent="0.25">
      <c r="A71" s="4" t="s">
        <v>20</v>
      </c>
      <c r="B71" s="4" t="s">
        <v>2</v>
      </c>
      <c r="C71" s="4">
        <v>4</v>
      </c>
      <c r="D71" s="4" t="s">
        <v>78</v>
      </c>
      <c r="E71" s="4">
        <v>4</v>
      </c>
      <c r="F71" s="4">
        <v>6</v>
      </c>
      <c r="G71" s="4">
        <v>6</v>
      </c>
      <c r="H71" s="4">
        <v>6</v>
      </c>
      <c r="I71" s="4"/>
      <c r="J71" s="4"/>
      <c r="K71" s="4">
        <f>((E71+F71)/2+G71+H71+I71+J71)/3</f>
        <v>5.666666666666667</v>
      </c>
      <c r="L71" s="4">
        <v>1</v>
      </c>
      <c r="M71" s="4">
        <f t="shared" si="13"/>
        <v>5.666666666666667</v>
      </c>
      <c r="N71" s="19"/>
    </row>
    <row r="72" spans="1:14" ht="18.75" x14ac:dyDescent="0.3">
      <c r="A72" s="2" t="s">
        <v>5</v>
      </c>
      <c r="B72" s="2"/>
      <c r="C72" s="2"/>
      <c r="D72" s="2"/>
      <c r="E72" s="18" t="s">
        <v>11</v>
      </c>
      <c r="F72" s="18"/>
      <c r="G72" s="18"/>
      <c r="H72" s="18"/>
      <c r="I72" s="18"/>
      <c r="J72" s="18"/>
      <c r="K72" s="2"/>
      <c r="L72" s="2"/>
      <c r="M72" s="2"/>
    </row>
    <row r="73" spans="1:14" ht="18.75" x14ac:dyDescent="0.25">
      <c r="A73" s="4" t="s">
        <v>8</v>
      </c>
      <c r="B73" s="6" t="s">
        <v>7</v>
      </c>
      <c r="C73" s="4" t="s">
        <v>9</v>
      </c>
      <c r="D73" s="4" t="s">
        <v>10</v>
      </c>
      <c r="E73" s="4" t="s">
        <v>12</v>
      </c>
      <c r="F73" s="4" t="s">
        <v>13</v>
      </c>
      <c r="G73" s="4"/>
      <c r="H73" s="4"/>
      <c r="I73" s="4"/>
      <c r="J73" s="4"/>
      <c r="K73" s="6" t="s">
        <v>14</v>
      </c>
      <c r="L73" s="4" t="s">
        <v>15</v>
      </c>
      <c r="M73" s="4" t="s">
        <v>16</v>
      </c>
      <c r="N73" s="7" t="s">
        <v>18</v>
      </c>
    </row>
    <row r="74" spans="1:14" ht="18.75" x14ac:dyDescent="0.25">
      <c r="A74" s="4" t="s">
        <v>33</v>
      </c>
      <c r="B74" s="4" t="s">
        <v>0</v>
      </c>
      <c r="C74" s="4">
        <v>17</v>
      </c>
      <c r="D74" s="4" t="s">
        <v>79</v>
      </c>
      <c r="E74" s="4">
        <v>4</v>
      </c>
      <c r="F74" s="4">
        <v>5</v>
      </c>
      <c r="G74" s="4">
        <v>5</v>
      </c>
      <c r="H74" s="4">
        <v>5</v>
      </c>
      <c r="I74" s="4"/>
      <c r="J74" s="4"/>
      <c r="K74" s="4">
        <f>((E74+F74)/2+G74+H74+I74+J74)/3</f>
        <v>4.833333333333333</v>
      </c>
      <c r="L74" s="4">
        <v>3</v>
      </c>
      <c r="M74" s="4">
        <f>L74*K74</f>
        <v>14.5</v>
      </c>
      <c r="N74" s="19">
        <f>M74+M75+M76</f>
        <v>30.666666666666668</v>
      </c>
    </row>
    <row r="75" spans="1:14" ht="18.75" x14ac:dyDescent="0.25">
      <c r="A75" s="4" t="s">
        <v>33</v>
      </c>
      <c r="B75" s="4" t="s">
        <v>1</v>
      </c>
      <c r="C75" s="4">
        <v>1</v>
      </c>
      <c r="D75" s="4" t="s">
        <v>80</v>
      </c>
      <c r="E75" s="4">
        <v>4</v>
      </c>
      <c r="F75" s="4">
        <v>7</v>
      </c>
      <c r="G75" s="4">
        <v>5</v>
      </c>
      <c r="H75" s="4">
        <v>6</v>
      </c>
      <c r="I75" s="4"/>
      <c r="J75" s="4"/>
      <c r="K75" s="4">
        <f>((E75+F75)/2+G75+H75+I75+J75)/3</f>
        <v>5.5</v>
      </c>
      <c r="L75" s="4">
        <v>2</v>
      </c>
      <c r="M75" s="4">
        <f t="shared" ref="M75:M76" si="14">L75*K75</f>
        <v>11</v>
      </c>
      <c r="N75" s="19"/>
    </row>
    <row r="76" spans="1:14" ht="18.75" x14ac:dyDescent="0.25">
      <c r="A76" s="4" t="s">
        <v>33</v>
      </c>
      <c r="B76" s="4" t="s">
        <v>2</v>
      </c>
      <c r="C76" s="4">
        <v>5</v>
      </c>
      <c r="D76" s="4" t="s">
        <v>81</v>
      </c>
      <c r="E76" s="4">
        <v>5</v>
      </c>
      <c r="F76" s="4">
        <v>6</v>
      </c>
      <c r="G76" s="4">
        <v>5</v>
      </c>
      <c r="H76" s="4">
        <v>5</v>
      </c>
      <c r="I76" s="4"/>
      <c r="J76" s="4"/>
      <c r="K76" s="4">
        <f>((E76+F76)/2+G76+H76+I76+J76)/3</f>
        <v>5.166666666666667</v>
      </c>
      <c r="L76" s="4">
        <v>1</v>
      </c>
      <c r="M76" s="4">
        <f t="shared" si="14"/>
        <v>5.166666666666667</v>
      </c>
      <c r="N76" s="19"/>
    </row>
    <row r="77" spans="1:14" ht="18.75" x14ac:dyDescent="0.3">
      <c r="A77" s="2" t="s">
        <v>5</v>
      </c>
      <c r="B77" s="2"/>
      <c r="C77" s="2"/>
      <c r="D77" s="2"/>
      <c r="E77" s="18" t="s">
        <v>11</v>
      </c>
      <c r="F77" s="18"/>
      <c r="G77" s="18"/>
      <c r="H77" s="18"/>
      <c r="I77" s="18"/>
      <c r="J77" s="18"/>
      <c r="K77" s="2"/>
      <c r="L77" s="2"/>
      <c r="M77" s="2"/>
    </row>
    <row r="78" spans="1:14" ht="18.75" x14ac:dyDescent="0.25">
      <c r="A78" s="4" t="s">
        <v>8</v>
      </c>
      <c r="B78" s="6" t="s">
        <v>7</v>
      </c>
      <c r="C78" s="4" t="s">
        <v>9</v>
      </c>
      <c r="D78" s="4" t="s">
        <v>10</v>
      </c>
      <c r="E78" s="4" t="s">
        <v>12</v>
      </c>
      <c r="F78" s="4" t="s">
        <v>13</v>
      </c>
      <c r="G78" s="4"/>
      <c r="H78" s="4"/>
      <c r="I78" s="4"/>
      <c r="J78" s="4"/>
      <c r="K78" s="6" t="s">
        <v>14</v>
      </c>
      <c r="L78" s="4" t="s">
        <v>15</v>
      </c>
      <c r="M78" s="4" t="s">
        <v>16</v>
      </c>
      <c r="N78" s="7" t="s">
        <v>18</v>
      </c>
    </row>
    <row r="79" spans="1:14" ht="18.75" x14ac:dyDescent="0.25">
      <c r="A79" s="4" t="s">
        <v>82</v>
      </c>
      <c r="B79" s="4" t="s">
        <v>0</v>
      </c>
      <c r="C79" s="4">
        <v>5</v>
      </c>
      <c r="D79" s="4" t="s">
        <v>83</v>
      </c>
      <c r="E79" s="4">
        <v>6</v>
      </c>
      <c r="F79" s="4">
        <v>7</v>
      </c>
      <c r="G79" s="4">
        <v>6</v>
      </c>
      <c r="H79" s="4">
        <v>7</v>
      </c>
      <c r="I79" s="4"/>
      <c r="J79" s="4"/>
      <c r="K79" s="4">
        <f>((E79+F79)/2+G79+H79+I79+J79)/3</f>
        <v>6.5</v>
      </c>
      <c r="L79" s="4">
        <v>3</v>
      </c>
      <c r="M79" s="4">
        <f>L79*K79</f>
        <v>19.5</v>
      </c>
      <c r="N79" s="19">
        <f>M79+M80+M81</f>
        <v>37.666666666666671</v>
      </c>
    </row>
    <row r="80" spans="1:14" ht="18.75" x14ac:dyDescent="0.25">
      <c r="A80" s="4" t="s">
        <v>82</v>
      </c>
      <c r="B80" s="4" t="s">
        <v>1</v>
      </c>
      <c r="C80" s="4">
        <v>17</v>
      </c>
      <c r="D80" s="4" t="s">
        <v>84</v>
      </c>
      <c r="E80" s="4">
        <v>5</v>
      </c>
      <c r="F80" s="4">
        <v>7</v>
      </c>
      <c r="G80" s="4">
        <v>5</v>
      </c>
      <c r="H80" s="4">
        <v>6</v>
      </c>
      <c r="I80" s="4"/>
      <c r="J80" s="4"/>
      <c r="K80" s="4">
        <f>((E80+F80)/2+G80+H80+I80+J80)/3</f>
        <v>5.666666666666667</v>
      </c>
      <c r="L80" s="4">
        <v>2</v>
      </c>
      <c r="M80" s="4">
        <f t="shared" ref="M80:M81" si="15">L80*K80</f>
        <v>11.333333333333334</v>
      </c>
      <c r="N80" s="19"/>
    </row>
    <row r="81" spans="1:14" ht="18.75" x14ac:dyDescent="0.25">
      <c r="A81" s="4" t="s">
        <v>82</v>
      </c>
      <c r="B81" s="4" t="s">
        <v>2</v>
      </c>
      <c r="C81" s="4">
        <v>1</v>
      </c>
      <c r="D81" s="4" t="s">
        <v>85</v>
      </c>
      <c r="E81" s="4">
        <v>5</v>
      </c>
      <c r="F81" s="4">
        <v>8</v>
      </c>
      <c r="G81" s="4">
        <v>6</v>
      </c>
      <c r="H81" s="4">
        <v>8</v>
      </c>
      <c r="I81" s="4"/>
      <c r="J81" s="4"/>
      <c r="K81" s="4">
        <f>((E81+F81)/2+G81+H81+I81+J81)/3</f>
        <v>6.833333333333333</v>
      </c>
      <c r="L81" s="4">
        <v>1</v>
      </c>
      <c r="M81" s="4">
        <f t="shared" si="15"/>
        <v>6.833333333333333</v>
      </c>
      <c r="N81" s="19"/>
    </row>
    <row r="82" spans="1:14" ht="18.75" x14ac:dyDescent="0.3">
      <c r="A82" s="2" t="s">
        <v>5</v>
      </c>
      <c r="B82" s="2"/>
      <c r="C82" s="2"/>
      <c r="D82" s="2"/>
      <c r="E82" s="18" t="s">
        <v>11</v>
      </c>
      <c r="F82" s="18"/>
      <c r="G82" s="18"/>
      <c r="H82" s="18"/>
      <c r="I82" s="18"/>
      <c r="J82" s="18"/>
      <c r="K82" s="2"/>
      <c r="L82" s="2"/>
      <c r="M82" s="2"/>
    </row>
    <row r="83" spans="1:14" ht="18.75" x14ac:dyDescent="0.25">
      <c r="A83" s="4" t="s">
        <v>8</v>
      </c>
      <c r="B83" s="6" t="s">
        <v>7</v>
      </c>
      <c r="C83" s="4" t="s">
        <v>9</v>
      </c>
      <c r="D83" s="4" t="s">
        <v>10</v>
      </c>
      <c r="E83" s="4" t="s">
        <v>12</v>
      </c>
      <c r="F83" s="4" t="s">
        <v>13</v>
      </c>
      <c r="G83" s="4"/>
      <c r="H83" s="4"/>
      <c r="I83" s="4"/>
      <c r="J83" s="4"/>
      <c r="K83" s="6" t="s">
        <v>14</v>
      </c>
      <c r="L83" s="4" t="s">
        <v>15</v>
      </c>
      <c r="M83" s="4" t="s">
        <v>16</v>
      </c>
      <c r="N83" s="7" t="s">
        <v>18</v>
      </c>
    </row>
    <row r="84" spans="1:14" ht="18.75" x14ac:dyDescent="0.25">
      <c r="A84" s="4">
        <v>406</v>
      </c>
      <c r="B84" s="4" t="s">
        <v>0</v>
      </c>
      <c r="C84" s="4">
        <v>1</v>
      </c>
      <c r="D84" s="4" t="s">
        <v>86</v>
      </c>
      <c r="E84" s="4">
        <v>4</v>
      </c>
      <c r="F84" s="4">
        <v>6</v>
      </c>
      <c r="G84" s="4">
        <v>4</v>
      </c>
      <c r="H84" s="4">
        <v>6</v>
      </c>
      <c r="I84" s="4"/>
      <c r="J84" s="4"/>
      <c r="K84" s="4">
        <f>((E84+F84)/2+G84+H84+I84+J84)/3</f>
        <v>5</v>
      </c>
      <c r="L84" s="4">
        <v>3</v>
      </c>
      <c r="M84" s="4">
        <f>L84*K84</f>
        <v>15</v>
      </c>
      <c r="N84" s="19">
        <f>M84+M85+M86</f>
        <v>32.666666666666664</v>
      </c>
    </row>
    <row r="85" spans="1:14" ht="18.75" x14ac:dyDescent="0.25">
      <c r="A85" s="4">
        <v>406</v>
      </c>
      <c r="B85" s="4" t="s">
        <v>1</v>
      </c>
      <c r="C85" s="4">
        <v>5</v>
      </c>
      <c r="D85" s="4" t="s">
        <v>87</v>
      </c>
      <c r="E85" s="4">
        <v>5</v>
      </c>
      <c r="F85" s="4">
        <v>6</v>
      </c>
      <c r="G85" s="4">
        <v>6</v>
      </c>
      <c r="H85" s="4">
        <v>6</v>
      </c>
      <c r="I85" s="4"/>
      <c r="J85" s="4"/>
      <c r="K85" s="4">
        <f>((E85+F85)/2+G85+H85+I85+J85)/3</f>
        <v>5.833333333333333</v>
      </c>
      <c r="L85" s="4">
        <v>2</v>
      </c>
      <c r="M85" s="4">
        <f t="shared" ref="M85:M86" si="16">L85*K85</f>
        <v>11.666666666666666</v>
      </c>
      <c r="N85" s="19"/>
    </row>
    <row r="86" spans="1:14" ht="18.75" x14ac:dyDescent="0.25">
      <c r="A86" s="4">
        <v>406</v>
      </c>
      <c r="B86" s="4" t="s">
        <v>2</v>
      </c>
      <c r="C86" s="4">
        <v>17</v>
      </c>
      <c r="D86" s="4" t="s">
        <v>88</v>
      </c>
      <c r="E86" s="4">
        <v>5</v>
      </c>
      <c r="F86" s="4">
        <v>7</v>
      </c>
      <c r="G86" s="4">
        <v>6</v>
      </c>
      <c r="H86" s="4">
        <v>6</v>
      </c>
      <c r="I86" s="4"/>
      <c r="J86" s="4"/>
      <c r="K86" s="4">
        <f>((E86+F86)/2+G86+H86+I86+J86)/3</f>
        <v>6</v>
      </c>
      <c r="L86" s="4">
        <v>1</v>
      </c>
      <c r="M86" s="4">
        <f t="shared" si="16"/>
        <v>6</v>
      </c>
      <c r="N86" s="19"/>
    </row>
    <row r="87" spans="1:14" ht="18.75" x14ac:dyDescent="0.3">
      <c r="A87" s="2" t="s">
        <v>4</v>
      </c>
      <c r="B87" s="2">
        <v>6</v>
      </c>
      <c r="C87" s="2"/>
      <c r="D87" s="2"/>
      <c r="E87" s="18" t="s">
        <v>11</v>
      </c>
      <c r="F87" s="18"/>
      <c r="G87" s="18"/>
      <c r="H87" s="18"/>
      <c r="I87" s="18"/>
      <c r="J87" s="18"/>
      <c r="K87" s="2"/>
      <c r="L87" s="2"/>
      <c r="M87" s="2"/>
    </row>
    <row r="88" spans="1:14" ht="18.75" x14ac:dyDescent="0.25">
      <c r="A88" s="4" t="s">
        <v>8</v>
      </c>
      <c r="B88" s="6" t="s">
        <v>7</v>
      </c>
      <c r="C88" s="4" t="s">
        <v>9</v>
      </c>
      <c r="D88" s="4" t="s">
        <v>10</v>
      </c>
      <c r="E88" s="4" t="s">
        <v>12</v>
      </c>
      <c r="F88" s="4" t="s">
        <v>13</v>
      </c>
      <c r="G88" s="4"/>
      <c r="H88" s="4"/>
      <c r="I88" s="4"/>
      <c r="J88" s="4"/>
      <c r="K88" s="6" t="s">
        <v>14</v>
      </c>
      <c r="L88" s="4" t="s">
        <v>15</v>
      </c>
      <c r="M88" s="4" t="s">
        <v>16</v>
      </c>
      <c r="N88" s="7" t="s">
        <v>18</v>
      </c>
    </row>
    <row r="89" spans="1:14" ht="18.75" x14ac:dyDescent="0.25">
      <c r="A89" s="4" t="s">
        <v>89</v>
      </c>
      <c r="B89" s="4" t="s">
        <v>0</v>
      </c>
      <c r="C89" s="4">
        <v>3</v>
      </c>
      <c r="D89" s="4" t="s">
        <v>90</v>
      </c>
      <c r="E89" s="4">
        <v>6</v>
      </c>
      <c r="F89" s="4">
        <v>8</v>
      </c>
      <c r="G89" s="4">
        <v>7</v>
      </c>
      <c r="H89" s="4">
        <v>6</v>
      </c>
      <c r="I89" s="4"/>
      <c r="J89" s="4"/>
      <c r="K89" s="4">
        <f>((E89+F89)/2+G89+H89+I89+J89)/3</f>
        <v>6.666666666666667</v>
      </c>
      <c r="L89" s="4">
        <v>3</v>
      </c>
      <c r="M89" s="4">
        <f>L89*K89</f>
        <v>20</v>
      </c>
      <c r="N89" s="19">
        <f>M89+M90+M91</f>
        <v>40.666666666666671</v>
      </c>
    </row>
    <row r="90" spans="1:14" ht="18.75" x14ac:dyDescent="0.25">
      <c r="A90" s="4" t="s">
        <v>89</v>
      </c>
      <c r="B90" s="4" t="s">
        <v>1</v>
      </c>
      <c r="C90" s="4">
        <v>17</v>
      </c>
      <c r="D90" s="4" t="s">
        <v>91</v>
      </c>
      <c r="E90" s="4">
        <v>5</v>
      </c>
      <c r="F90" s="4">
        <v>7</v>
      </c>
      <c r="G90" s="4">
        <v>7</v>
      </c>
      <c r="H90" s="4">
        <v>7</v>
      </c>
      <c r="I90" s="4"/>
      <c r="J90" s="4"/>
      <c r="K90" s="4">
        <f>((E90+F90)/2+G90+H90+I90+J90)/3</f>
        <v>6.666666666666667</v>
      </c>
      <c r="L90" s="4">
        <v>2</v>
      </c>
      <c r="M90" s="4">
        <f t="shared" ref="M90:M91" si="17">L90*K90</f>
        <v>13.333333333333334</v>
      </c>
      <c r="N90" s="19"/>
    </row>
    <row r="91" spans="1:14" ht="18.75" x14ac:dyDescent="0.25">
      <c r="A91" s="4" t="s">
        <v>89</v>
      </c>
      <c r="B91" s="4" t="s">
        <v>2</v>
      </c>
      <c r="C91" s="4">
        <v>6</v>
      </c>
      <c r="D91" s="4" t="s">
        <v>92</v>
      </c>
      <c r="E91" s="4">
        <v>6</v>
      </c>
      <c r="F91" s="4">
        <v>8</v>
      </c>
      <c r="G91" s="4">
        <v>7</v>
      </c>
      <c r="H91" s="4">
        <v>8</v>
      </c>
      <c r="I91" s="4"/>
      <c r="J91" s="4"/>
      <c r="K91" s="4">
        <f>((E91+F91)/2+G91+H91+I91+J91)/3</f>
        <v>7.333333333333333</v>
      </c>
      <c r="L91" s="4">
        <v>1</v>
      </c>
      <c r="M91" s="4">
        <f t="shared" si="17"/>
        <v>7.333333333333333</v>
      </c>
      <c r="N91" s="19"/>
    </row>
    <row r="92" spans="1:14" ht="18.75" x14ac:dyDescent="0.3">
      <c r="A92" s="2" t="s">
        <v>4</v>
      </c>
      <c r="B92" s="2"/>
      <c r="C92" s="2"/>
      <c r="D92" s="2"/>
      <c r="E92" s="18" t="s">
        <v>11</v>
      </c>
      <c r="F92" s="18"/>
      <c r="G92" s="18"/>
      <c r="H92" s="18"/>
      <c r="I92" s="18"/>
      <c r="J92" s="18"/>
      <c r="K92" s="2"/>
      <c r="L92" s="2"/>
      <c r="M92" s="2"/>
    </row>
    <row r="93" spans="1:14" ht="18.75" x14ac:dyDescent="0.25">
      <c r="A93" s="4" t="s">
        <v>8</v>
      </c>
      <c r="B93" s="6" t="s">
        <v>7</v>
      </c>
      <c r="C93" s="4" t="s">
        <v>9</v>
      </c>
      <c r="D93" s="4" t="s">
        <v>10</v>
      </c>
      <c r="E93" s="4" t="s">
        <v>12</v>
      </c>
      <c r="F93" s="4" t="s">
        <v>13</v>
      </c>
      <c r="G93" s="4"/>
      <c r="H93" s="4"/>
      <c r="I93" s="4"/>
      <c r="J93" s="4"/>
      <c r="K93" s="6" t="s">
        <v>14</v>
      </c>
      <c r="L93" s="4" t="s">
        <v>15</v>
      </c>
      <c r="M93" s="4" t="s">
        <v>16</v>
      </c>
      <c r="N93" s="7" t="s">
        <v>18</v>
      </c>
    </row>
    <row r="94" spans="1:14" ht="18.75" x14ac:dyDescent="0.25">
      <c r="A94" s="4" t="s">
        <v>93</v>
      </c>
      <c r="B94" s="4" t="s">
        <v>0</v>
      </c>
      <c r="C94" s="4">
        <v>6</v>
      </c>
      <c r="D94" s="4" t="s">
        <v>94</v>
      </c>
      <c r="E94" s="4">
        <v>5</v>
      </c>
      <c r="F94" s="4">
        <v>7</v>
      </c>
      <c r="G94" s="4">
        <v>6</v>
      </c>
      <c r="H94" s="4">
        <v>6</v>
      </c>
      <c r="I94" s="4"/>
      <c r="J94" s="4"/>
      <c r="K94" s="4">
        <f>((E94+F94)/2+G94+H94+I94+J94)/3</f>
        <v>6</v>
      </c>
      <c r="L94" s="4">
        <v>3</v>
      </c>
      <c r="M94" s="4">
        <f>L94*K94</f>
        <v>18</v>
      </c>
      <c r="N94" s="19">
        <f>M94+M95+M96</f>
        <v>36.166666666666671</v>
      </c>
    </row>
    <row r="95" spans="1:14" ht="18.75" x14ac:dyDescent="0.25">
      <c r="A95" s="4" t="s">
        <v>93</v>
      </c>
      <c r="B95" s="4" t="s">
        <v>1</v>
      </c>
      <c r="C95" s="4">
        <v>3</v>
      </c>
      <c r="D95" s="4" t="s">
        <v>94</v>
      </c>
      <c r="E95" s="4">
        <v>4</v>
      </c>
      <c r="F95" s="4">
        <v>7</v>
      </c>
      <c r="G95" s="4">
        <v>6</v>
      </c>
      <c r="H95" s="4">
        <v>7</v>
      </c>
      <c r="I95" s="4"/>
      <c r="J95" s="4"/>
      <c r="K95" s="4">
        <f>((E95+F95)/2+G95+H95+I95+J95)/3</f>
        <v>6.166666666666667</v>
      </c>
      <c r="L95" s="4">
        <v>2</v>
      </c>
      <c r="M95" s="4">
        <f t="shared" ref="M95:M96" si="18">L95*K95</f>
        <v>12.333333333333334</v>
      </c>
      <c r="N95" s="19"/>
    </row>
    <row r="96" spans="1:14" ht="18.75" x14ac:dyDescent="0.25">
      <c r="A96" s="4" t="s">
        <v>93</v>
      </c>
      <c r="B96" s="4" t="s">
        <v>2</v>
      </c>
      <c r="C96" s="4">
        <v>17</v>
      </c>
      <c r="D96" s="4" t="s">
        <v>95</v>
      </c>
      <c r="E96" s="4">
        <v>5</v>
      </c>
      <c r="F96" s="4">
        <v>8</v>
      </c>
      <c r="G96" s="4">
        <v>5</v>
      </c>
      <c r="H96" s="4">
        <v>6</v>
      </c>
      <c r="I96" s="4"/>
      <c r="J96" s="4"/>
      <c r="K96" s="4">
        <f>((E96+F96)/2+G96+H96+I96+J96)/3</f>
        <v>5.833333333333333</v>
      </c>
      <c r="L96" s="4">
        <v>1</v>
      </c>
      <c r="M96" s="4">
        <f t="shared" si="18"/>
        <v>5.833333333333333</v>
      </c>
      <c r="N96" s="19"/>
    </row>
    <row r="97" spans="1:14" ht="18.75" x14ac:dyDescent="0.3">
      <c r="A97" s="2" t="s">
        <v>4</v>
      </c>
      <c r="B97" s="2"/>
      <c r="C97" s="2"/>
      <c r="D97" s="2"/>
      <c r="E97" s="18" t="s">
        <v>11</v>
      </c>
      <c r="F97" s="18"/>
      <c r="G97" s="18"/>
      <c r="H97" s="18"/>
      <c r="I97" s="18"/>
      <c r="J97" s="18"/>
      <c r="K97" s="2"/>
      <c r="L97" s="2"/>
      <c r="M97" s="2"/>
    </row>
    <row r="98" spans="1:14" ht="18.75" x14ac:dyDescent="0.25">
      <c r="A98" s="4" t="s">
        <v>8</v>
      </c>
      <c r="B98" s="6" t="s">
        <v>7</v>
      </c>
      <c r="C98" s="4" t="s">
        <v>9</v>
      </c>
      <c r="D98" s="4" t="s">
        <v>10</v>
      </c>
      <c r="E98" s="4" t="s">
        <v>12</v>
      </c>
      <c r="F98" s="4" t="s">
        <v>13</v>
      </c>
      <c r="G98" s="4"/>
      <c r="H98" s="4"/>
      <c r="I98" s="4"/>
      <c r="J98" s="4"/>
      <c r="K98" s="6" t="s">
        <v>14</v>
      </c>
      <c r="L98" s="4" t="s">
        <v>15</v>
      </c>
      <c r="M98" s="4" t="s">
        <v>16</v>
      </c>
      <c r="N98" s="7" t="s">
        <v>18</v>
      </c>
    </row>
    <row r="99" spans="1:14" ht="18.75" x14ac:dyDescent="0.25">
      <c r="A99" s="4" t="s">
        <v>96</v>
      </c>
      <c r="B99" s="4" t="s">
        <v>0</v>
      </c>
      <c r="C99" s="4">
        <v>17</v>
      </c>
      <c r="D99" s="4" t="s">
        <v>97</v>
      </c>
      <c r="E99" s="4">
        <v>3</v>
      </c>
      <c r="F99" s="4">
        <v>4</v>
      </c>
      <c r="G99" s="4">
        <v>4</v>
      </c>
      <c r="H99" s="4">
        <v>4</v>
      </c>
      <c r="I99" s="4"/>
      <c r="J99" s="4"/>
      <c r="K99" s="4">
        <f>((E99+F99)/2+G99+H99+I99+J99)/3</f>
        <v>3.8333333333333335</v>
      </c>
      <c r="L99" s="4">
        <v>3</v>
      </c>
      <c r="M99" s="4">
        <f>L99*K99</f>
        <v>11.5</v>
      </c>
      <c r="N99" s="19">
        <f>M99+M100+M101</f>
        <v>25.999999999999996</v>
      </c>
    </row>
    <row r="100" spans="1:14" ht="18.75" x14ac:dyDescent="0.25">
      <c r="A100" s="4" t="s">
        <v>96</v>
      </c>
      <c r="B100" s="4" t="s">
        <v>1</v>
      </c>
      <c r="C100" s="4">
        <v>6</v>
      </c>
      <c r="D100" s="4" t="s">
        <v>98</v>
      </c>
      <c r="E100" s="4">
        <v>3</v>
      </c>
      <c r="F100" s="4">
        <v>5</v>
      </c>
      <c r="G100" s="4">
        <v>4</v>
      </c>
      <c r="H100" s="4">
        <v>5</v>
      </c>
      <c r="I100" s="4"/>
      <c r="J100" s="4"/>
      <c r="K100" s="4">
        <f>((E100+F100)/2+G100+H100+I100+J100)/3</f>
        <v>4.333333333333333</v>
      </c>
      <c r="L100" s="4">
        <v>2</v>
      </c>
      <c r="M100" s="4">
        <f t="shared" ref="M100:M101" si="19">L100*K100</f>
        <v>8.6666666666666661</v>
      </c>
      <c r="N100" s="19"/>
    </row>
    <row r="101" spans="1:14" ht="18.75" x14ac:dyDescent="0.25">
      <c r="A101" s="4" t="s">
        <v>96</v>
      </c>
      <c r="B101" s="4" t="s">
        <v>2</v>
      </c>
      <c r="C101" s="4">
        <v>3</v>
      </c>
      <c r="D101" s="4" t="s">
        <v>99</v>
      </c>
      <c r="E101" s="4">
        <v>4</v>
      </c>
      <c r="F101" s="4">
        <v>7</v>
      </c>
      <c r="G101" s="4">
        <v>6</v>
      </c>
      <c r="H101" s="4">
        <v>6</v>
      </c>
      <c r="I101" s="4"/>
      <c r="J101" s="4"/>
      <c r="K101" s="4">
        <f>((E101+F101)/2+G101+H101+I101+J101)/3</f>
        <v>5.833333333333333</v>
      </c>
      <c r="L101" s="4">
        <v>1</v>
      </c>
      <c r="M101" s="4">
        <f t="shared" si="19"/>
        <v>5.833333333333333</v>
      </c>
      <c r="N101" s="19"/>
    </row>
  </sheetData>
  <mergeCells count="41">
    <mergeCell ref="N79:N81"/>
    <mergeCell ref="N84:N86"/>
    <mergeCell ref="N89:N91"/>
    <mergeCell ref="N94:N96"/>
    <mergeCell ref="N49:N51"/>
    <mergeCell ref="N54:N56"/>
    <mergeCell ref="N59:N61"/>
    <mergeCell ref="N64:N66"/>
    <mergeCell ref="N74:N76"/>
    <mergeCell ref="E87:J87"/>
    <mergeCell ref="E92:J92"/>
    <mergeCell ref="N4:N6"/>
    <mergeCell ref="N9:N11"/>
    <mergeCell ref="N14:N16"/>
    <mergeCell ref="N19:N21"/>
    <mergeCell ref="N24:N26"/>
    <mergeCell ref="N29:N31"/>
    <mergeCell ref="N34:N36"/>
    <mergeCell ref="N39:N41"/>
    <mergeCell ref="E57:J57"/>
    <mergeCell ref="E62:J62"/>
    <mergeCell ref="E67:J67"/>
    <mergeCell ref="E72:J72"/>
    <mergeCell ref="E77:J77"/>
    <mergeCell ref="N44:N46"/>
    <mergeCell ref="E97:J97"/>
    <mergeCell ref="N99:N101"/>
    <mergeCell ref="E22:J22"/>
    <mergeCell ref="E2:J2"/>
    <mergeCell ref="A1:M1"/>
    <mergeCell ref="E7:J7"/>
    <mergeCell ref="E12:J12"/>
    <mergeCell ref="E17:J17"/>
    <mergeCell ref="E82:J82"/>
    <mergeCell ref="E27:J27"/>
    <mergeCell ref="E32:J32"/>
    <mergeCell ref="E37:J37"/>
    <mergeCell ref="E42:J42"/>
    <mergeCell ref="E47:J47"/>
    <mergeCell ref="E52:J52"/>
    <mergeCell ref="N69:N71"/>
  </mergeCells>
  <pageMargins left="0.70866141732283472" right="0.70866141732283472" top="0.74803149606299213" bottom="0.74803149606299213" header="0.31496062992125984" footer="0.31496062992125984"/>
  <pageSetup paperSize="9" scale="6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topLeftCell="E1" zoomScale="80" zoomScaleNormal="80" workbookViewId="0">
      <selection activeCell="P3" sqref="P3:AB5"/>
    </sheetView>
  </sheetViews>
  <sheetFormatPr defaultRowHeight="15" x14ac:dyDescent="0.25"/>
  <cols>
    <col min="1" max="1" width="15.140625" customWidth="1"/>
    <col min="2" max="2" width="5.42578125" customWidth="1"/>
    <col min="3" max="3" width="8.140625" customWidth="1"/>
    <col min="4" max="4" width="19.85546875" customWidth="1"/>
    <col min="5" max="10" width="5.85546875" customWidth="1"/>
    <col min="11" max="11" width="8" customWidth="1"/>
    <col min="12" max="13" width="7.85546875" customWidth="1"/>
    <col min="15" max="15" width="3.5703125" customWidth="1"/>
  </cols>
  <sheetData>
    <row r="1" spans="1:14" ht="18.75" x14ac:dyDescent="0.3">
      <c r="A1" s="20" t="s">
        <v>167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8.75" x14ac:dyDescent="0.3">
      <c r="A2" s="2" t="s">
        <v>3</v>
      </c>
      <c r="B2" s="2"/>
      <c r="C2" s="2"/>
      <c r="D2" s="2"/>
      <c r="E2" s="18" t="s">
        <v>11</v>
      </c>
      <c r="F2" s="18"/>
      <c r="G2" s="18"/>
      <c r="H2" s="18"/>
      <c r="I2" s="18"/>
      <c r="J2" s="18"/>
      <c r="K2" s="2"/>
      <c r="L2" s="2"/>
      <c r="M2" s="2"/>
    </row>
    <row r="3" spans="1:14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6" t="s">
        <v>14</v>
      </c>
      <c r="L3" s="4" t="s">
        <v>15</v>
      </c>
      <c r="M3" s="4" t="s">
        <v>16</v>
      </c>
      <c r="N3" s="7" t="s">
        <v>18</v>
      </c>
    </row>
    <row r="4" spans="1:14" ht="18.75" x14ac:dyDescent="0.25">
      <c r="A4" s="4" t="s">
        <v>34</v>
      </c>
      <c r="B4" s="4" t="s">
        <v>0</v>
      </c>
      <c r="C4" s="4">
        <v>4</v>
      </c>
      <c r="D4" s="4" t="s">
        <v>109</v>
      </c>
      <c r="E4" s="4">
        <v>4</v>
      </c>
      <c r="F4" s="4">
        <v>7</v>
      </c>
      <c r="G4" s="4">
        <v>6</v>
      </c>
      <c r="H4" s="4">
        <v>6</v>
      </c>
      <c r="I4" s="4"/>
      <c r="J4" s="4"/>
      <c r="K4" s="4">
        <f>((E4+F4)/2+G4+H4+I4+J4)/3</f>
        <v>5.833333333333333</v>
      </c>
      <c r="L4" s="4">
        <v>3</v>
      </c>
      <c r="M4" s="4">
        <f>L4*K4</f>
        <v>17.5</v>
      </c>
      <c r="N4" s="19">
        <f>M4+M5+M6</f>
        <v>36.5</v>
      </c>
    </row>
    <row r="5" spans="1:14" ht="18.75" x14ac:dyDescent="0.25">
      <c r="A5" s="4" t="s">
        <v>34</v>
      </c>
      <c r="B5" s="4" t="s">
        <v>1</v>
      </c>
      <c r="C5" s="4">
        <v>13</v>
      </c>
      <c r="D5" s="4" t="s">
        <v>63</v>
      </c>
      <c r="E5" s="4">
        <v>5</v>
      </c>
      <c r="F5" s="4">
        <v>8</v>
      </c>
      <c r="G5" s="4">
        <v>6</v>
      </c>
      <c r="H5" s="4">
        <v>7</v>
      </c>
      <c r="I5" s="4"/>
      <c r="J5" s="4"/>
      <c r="K5" s="4">
        <f>((E5+F5)/2+G5+H5+I5+J5)/3</f>
        <v>6.5</v>
      </c>
      <c r="L5" s="4">
        <v>2</v>
      </c>
      <c r="M5" s="4">
        <f t="shared" ref="M5:M6" si="0">L5*K5</f>
        <v>13</v>
      </c>
      <c r="N5" s="19"/>
    </row>
    <row r="6" spans="1:14" ht="18.75" x14ac:dyDescent="0.25">
      <c r="A6" s="4" t="s">
        <v>34</v>
      </c>
      <c r="B6" s="4" t="s">
        <v>2</v>
      </c>
      <c r="C6" s="4">
        <v>17</v>
      </c>
      <c r="D6" s="4" t="s">
        <v>109</v>
      </c>
      <c r="E6" s="4">
        <v>5</v>
      </c>
      <c r="F6" s="4">
        <v>7</v>
      </c>
      <c r="G6" s="4">
        <v>6</v>
      </c>
      <c r="H6" s="4">
        <v>6</v>
      </c>
      <c r="I6" s="4"/>
      <c r="J6" s="4"/>
      <c r="K6" s="4">
        <f>((E6+F6)/2+G6+H6+I6+J6)/3</f>
        <v>6</v>
      </c>
      <c r="L6" s="4">
        <v>1</v>
      </c>
      <c r="M6" s="4">
        <f t="shared" si="0"/>
        <v>6</v>
      </c>
      <c r="N6" s="19"/>
    </row>
    <row r="7" spans="1:14" ht="18.75" x14ac:dyDescent="0.3">
      <c r="A7" s="2" t="s">
        <v>3</v>
      </c>
      <c r="B7" s="2">
        <v>16</v>
      </c>
      <c r="C7" s="2"/>
      <c r="D7" s="2"/>
      <c r="E7" s="18" t="s">
        <v>11</v>
      </c>
      <c r="F7" s="18"/>
      <c r="G7" s="18"/>
      <c r="H7" s="18"/>
      <c r="I7" s="18"/>
      <c r="J7" s="18"/>
      <c r="K7" s="2"/>
      <c r="L7" s="2"/>
      <c r="M7" s="2"/>
    </row>
    <row r="8" spans="1:14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6" t="s">
        <v>14</v>
      </c>
      <c r="L8" s="4" t="s">
        <v>15</v>
      </c>
      <c r="M8" s="4" t="s">
        <v>16</v>
      </c>
      <c r="N8" s="7" t="s">
        <v>18</v>
      </c>
    </row>
    <row r="9" spans="1:14" ht="18.75" x14ac:dyDescent="0.25">
      <c r="A9" s="4" t="s">
        <v>33</v>
      </c>
      <c r="B9" s="4" t="s">
        <v>0</v>
      </c>
      <c r="C9" s="4">
        <v>6</v>
      </c>
      <c r="D9" s="4" t="s">
        <v>110</v>
      </c>
      <c r="E9" s="4">
        <v>4</v>
      </c>
      <c r="F9" s="4">
        <v>6</v>
      </c>
      <c r="G9" s="4">
        <v>5</v>
      </c>
      <c r="H9" s="4">
        <v>4</v>
      </c>
      <c r="I9" s="4"/>
      <c r="J9" s="4"/>
      <c r="K9" s="4">
        <f>((E9+F9)/2+G9+H9+I9+J9)/3</f>
        <v>4.666666666666667</v>
      </c>
      <c r="L9" s="4">
        <v>3</v>
      </c>
      <c r="M9" s="4">
        <f>L9*K9</f>
        <v>14</v>
      </c>
      <c r="N9" s="19">
        <f>M9+M10+M11</f>
        <v>31.500000000000004</v>
      </c>
    </row>
    <row r="10" spans="1:14" ht="18.75" x14ac:dyDescent="0.25">
      <c r="A10" s="4" t="s">
        <v>33</v>
      </c>
      <c r="B10" s="4" t="s">
        <v>1</v>
      </c>
      <c r="C10" s="4">
        <v>4</v>
      </c>
      <c r="D10" s="4" t="s">
        <v>110</v>
      </c>
      <c r="E10" s="4">
        <v>4</v>
      </c>
      <c r="F10" s="4">
        <v>7</v>
      </c>
      <c r="G10" s="4">
        <v>7</v>
      </c>
      <c r="H10" s="4">
        <v>6</v>
      </c>
      <c r="I10" s="4"/>
      <c r="J10" s="4"/>
      <c r="K10" s="4">
        <f>((E10+F10)/2+G10+H10+I10+J10)/3</f>
        <v>6.166666666666667</v>
      </c>
      <c r="L10" s="4">
        <v>2</v>
      </c>
      <c r="M10" s="4">
        <f t="shared" ref="M10:M11" si="1">L10*K10</f>
        <v>12.333333333333334</v>
      </c>
      <c r="N10" s="19"/>
    </row>
    <row r="11" spans="1:14" ht="18.75" x14ac:dyDescent="0.25">
      <c r="A11" s="4" t="s">
        <v>33</v>
      </c>
      <c r="B11" s="4" t="s">
        <v>2</v>
      </c>
      <c r="C11" s="4">
        <v>13</v>
      </c>
      <c r="D11" s="4" t="s">
        <v>111</v>
      </c>
      <c r="E11" s="4">
        <v>5</v>
      </c>
      <c r="F11" s="4">
        <v>6</v>
      </c>
      <c r="G11" s="4">
        <v>5</v>
      </c>
      <c r="H11" s="4">
        <v>5</v>
      </c>
      <c r="I11" s="4"/>
      <c r="J11" s="4"/>
      <c r="K11" s="4">
        <f>((E11+F11)/2+G11+H11+I11+J11)/3</f>
        <v>5.166666666666667</v>
      </c>
      <c r="L11" s="4">
        <v>1</v>
      </c>
      <c r="M11" s="4">
        <f t="shared" si="1"/>
        <v>5.166666666666667</v>
      </c>
      <c r="N11" s="19"/>
    </row>
    <row r="12" spans="1:14" ht="18.75" x14ac:dyDescent="0.3">
      <c r="A12" s="2" t="s">
        <v>3</v>
      </c>
      <c r="B12" s="2">
        <v>14</v>
      </c>
      <c r="C12" s="2"/>
      <c r="D12" s="2"/>
      <c r="E12" s="18" t="s">
        <v>11</v>
      </c>
      <c r="F12" s="18"/>
      <c r="G12" s="18"/>
      <c r="H12" s="18"/>
      <c r="I12" s="18"/>
      <c r="J12" s="18"/>
      <c r="K12" s="2"/>
      <c r="L12" s="2"/>
      <c r="M12" s="2"/>
    </row>
    <row r="13" spans="1:14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6" t="s">
        <v>14</v>
      </c>
      <c r="L13" s="4" t="s">
        <v>15</v>
      </c>
      <c r="M13" s="4" t="s">
        <v>16</v>
      </c>
      <c r="N13" s="7" t="s">
        <v>18</v>
      </c>
    </row>
    <row r="14" spans="1:14" ht="18.75" x14ac:dyDescent="0.25">
      <c r="A14" s="4" t="s">
        <v>112</v>
      </c>
      <c r="B14" s="4" t="s">
        <v>0</v>
      </c>
      <c r="C14" s="4">
        <v>17</v>
      </c>
      <c r="D14" s="4" t="s">
        <v>91</v>
      </c>
      <c r="E14" s="4">
        <v>5</v>
      </c>
      <c r="F14" s="4">
        <v>7</v>
      </c>
      <c r="G14" s="4">
        <v>6</v>
      </c>
      <c r="H14" s="4">
        <v>5</v>
      </c>
      <c r="I14" s="4"/>
      <c r="J14" s="4"/>
      <c r="K14" s="4">
        <f>((E14+F14)/2+G14+H14+I14+J14)/3</f>
        <v>5.666666666666667</v>
      </c>
      <c r="L14" s="4">
        <v>3</v>
      </c>
      <c r="M14" s="4">
        <f>L14*K14</f>
        <v>17</v>
      </c>
      <c r="N14" s="19">
        <f>M14+M15+M16</f>
        <v>35</v>
      </c>
    </row>
    <row r="15" spans="1:14" ht="18.75" x14ac:dyDescent="0.25">
      <c r="A15" s="4" t="s">
        <v>112</v>
      </c>
      <c r="B15" s="4" t="s">
        <v>1</v>
      </c>
      <c r="C15" s="4">
        <v>10</v>
      </c>
      <c r="D15" s="4" t="s">
        <v>92</v>
      </c>
      <c r="E15" s="4">
        <v>5</v>
      </c>
      <c r="F15" s="4">
        <v>7</v>
      </c>
      <c r="G15" s="4">
        <v>6</v>
      </c>
      <c r="H15" s="4">
        <v>6</v>
      </c>
      <c r="I15" s="4"/>
      <c r="J15" s="4"/>
      <c r="K15" s="4">
        <f>((E15+F15)/2+G15+H15+I15+J15)/3</f>
        <v>6</v>
      </c>
      <c r="L15" s="4">
        <v>2</v>
      </c>
      <c r="M15" s="4">
        <f t="shared" ref="M15:M16" si="2">L15*K15</f>
        <v>12</v>
      </c>
      <c r="N15" s="19"/>
    </row>
    <row r="16" spans="1:14" ht="18.75" x14ac:dyDescent="0.25">
      <c r="A16" s="4" t="s">
        <v>112</v>
      </c>
      <c r="B16" s="4" t="s">
        <v>2</v>
      </c>
      <c r="C16" s="4">
        <v>4</v>
      </c>
      <c r="D16" s="4" t="s">
        <v>91</v>
      </c>
      <c r="E16" s="4">
        <v>4</v>
      </c>
      <c r="F16" s="4">
        <v>8</v>
      </c>
      <c r="G16" s="4">
        <v>6</v>
      </c>
      <c r="H16" s="4">
        <v>6</v>
      </c>
      <c r="I16" s="4"/>
      <c r="J16" s="4"/>
      <c r="K16" s="4">
        <f>((E16+F16)/2+G16+H16+I16+J16)/3</f>
        <v>6</v>
      </c>
      <c r="L16" s="4">
        <v>1</v>
      </c>
      <c r="M16" s="4">
        <f t="shared" si="2"/>
        <v>6</v>
      </c>
      <c r="N16" s="19"/>
    </row>
    <row r="17" spans="1:14" ht="18.75" x14ac:dyDescent="0.3">
      <c r="A17" s="2" t="s">
        <v>3</v>
      </c>
      <c r="B17" s="2" t="s">
        <v>113</v>
      </c>
      <c r="C17" s="2"/>
      <c r="D17" s="2"/>
      <c r="E17" s="18" t="s">
        <v>11</v>
      </c>
      <c r="F17" s="18"/>
      <c r="G17" s="18"/>
      <c r="H17" s="18"/>
      <c r="I17" s="18"/>
      <c r="J17" s="18"/>
      <c r="K17" s="2"/>
      <c r="L17" s="2"/>
      <c r="M17" s="2"/>
    </row>
    <row r="18" spans="1:14" ht="18.75" x14ac:dyDescent="0.25">
      <c r="A18" s="4" t="s">
        <v>8</v>
      </c>
      <c r="B18" s="6" t="s">
        <v>7</v>
      </c>
      <c r="C18" s="4" t="s">
        <v>9</v>
      </c>
      <c r="D18" s="4" t="s">
        <v>10</v>
      </c>
      <c r="E18" s="4" t="s">
        <v>12</v>
      </c>
      <c r="F18" s="4" t="s">
        <v>13</v>
      </c>
      <c r="G18" s="4"/>
      <c r="H18" s="4"/>
      <c r="I18" s="4"/>
      <c r="J18" s="4"/>
      <c r="K18" s="6" t="s">
        <v>14</v>
      </c>
      <c r="L18" s="4" t="s">
        <v>15</v>
      </c>
      <c r="M18" s="4" t="s">
        <v>16</v>
      </c>
      <c r="N18" s="7" t="s">
        <v>18</v>
      </c>
    </row>
    <row r="19" spans="1:14" ht="18.75" x14ac:dyDescent="0.25">
      <c r="A19" s="4" t="s">
        <v>31</v>
      </c>
      <c r="B19" s="4" t="s">
        <v>0</v>
      </c>
      <c r="C19" s="4">
        <v>13</v>
      </c>
      <c r="D19" s="4" t="s">
        <v>72</v>
      </c>
      <c r="E19" s="4">
        <v>4</v>
      </c>
      <c r="F19" s="4">
        <v>7</v>
      </c>
      <c r="G19" s="4">
        <v>7</v>
      </c>
      <c r="H19" s="4">
        <v>5</v>
      </c>
      <c r="I19" s="4"/>
      <c r="J19" s="4"/>
      <c r="K19" s="4">
        <f>((E19+F19)/2+G19+H19+I19+J19)/3</f>
        <v>5.833333333333333</v>
      </c>
      <c r="L19" s="4">
        <v>3</v>
      </c>
      <c r="M19" s="4">
        <f>L19*K19</f>
        <v>17.5</v>
      </c>
      <c r="N19" s="19">
        <f>M19+M20+M21</f>
        <v>35</v>
      </c>
    </row>
    <row r="20" spans="1:14" ht="18.75" x14ac:dyDescent="0.25">
      <c r="A20" s="4" t="s">
        <v>31</v>
      </c>
      <c r="B20" s="4" t="s">
        <v>1</v>
      </c>
      <c r="C20" s="4">
        <v>17</v>
      </c>
      <c r="D20" s="4" t="s">
        <v>114</v>
      </c>
      <c r="E20" s="4">
        <v>4</v>
      </c>
      <c r="F20" s="4">
        <v>7</v>
      </c>
      <c r="G20" s="4">
        <v>5</v>
      </c>
      <c r="H20" s="4">
        <v>6</v>
      </c>
      <c r="I20" s="4"/>
      <c r="J20" s="4"/>
      <c r="K20" s="4">
        <f>((E20+F20)/2+G20+H20+I20+J20)/3</f>
        <v>5.5</v>
      </c>
      <c r="L20" s="4">
        <v>2</v>
      </c>
      <c r="M20" s="4">
        <f t="shared" ref="M20:M21" si="3">L20*K20</f>
        <v>11</v>
      </c>
      <c r="N20" s="19"/>
    </row>
    <row r="21" spans="1:14" ht="18.75" x14ac:dyDescent="0.25">
      <c r="A21" s="4" t="s">
        <v>31</v>
      </c>
      <c r="B21" s="4" t="s">
        <v>2</v>
      </c>
      <c r="C21" s="4">
        <v>10</v>
      </c>
      <c r="D21" s="4" t="s">
        <v>71</v>
      </c>
      <c r="E21" s="4">
        <v>5</v>
      </c>
      <c r="F21" s="4">
        <v>8</v>
      </c>
      <c r="G21" s="4">
        <v>7</v>
      </c>
      <c r="H21" s="4">
        <v>6</v>
      </c>
      <c r="I21" s="4"/>
      <c r="J21" s="4"/>
      <c r="K21" s="4">
        <f>((E21+F21)/2+G21+H21+I21+J21)/3</f>
        <v>6.5</v>
      </c>
      <c r="L21" s="4">
        <v>1</v>
      </c>
      <c r="M21" s="4">
        <f t="shared" si="3"/>
        <v>6.5</v>
      </c>
      <c r="N21" s="19"/>
    </row>
    <row r="22" spans="1:14" ht="18.75" x14ac:dyDescent="0.3">
      <c r="A22" s="2" t="s">
        <v>50</v>
      </c>
      <c r="B22" s="2"/>
      <c r="C22" s="2"/>
      <c r="D22" s="2"/>
      <c r="E22" s="18" t="s">
        <v>11</v>
      </c>
      <c r="F22" s="18"/>
      <c r="G22" s="18"/>
      <c r="H22" s="18"/>
      <c r="I22" s="18"/>
      <c r="J22" s="18"/>
      <c r="K22" s="2"/>
      <c r="L22" s="2"/>
      <c r="M22" s="2"/>
    </row>
    <row r="23" spans="1:14" ht="18.75" x14ac:dyDescent="0.25">
      <c r="A23" s="4" t="s">
        <v>8</v>
      </c>
      <c r="B23" s="6" t="s">
        <v>7</v>
      </c>
      <c r="C23" s="4" t="s">
        <v>9</v>
      </c>
      <c r="D23" s="4" t="s">
        <v>10</v>
      </c>
      <c r="E23" s="4" t="s">
        <v>12</v>
      </c>
      <c r="F23" s="4" t="s">
        <v>13</v>
      </c>
      <c r="G23" s="4"/>
      <c r="H23" s="4"/>
      <c r="I23" s="4"/>
      <c r="J23" s="4"/>
      <c r="K23" s="6" t="s">
        <v>14</v>
      </c>
      <c r="L23" s="4" t="s">
        <v>15</v>
      </c>
      <c r="M23" s="4" t="s">
        <v>16</v>
      </c>
      <c r="N23" s="7" t="s">
        <v>18</v>
      </c>
    </row>
    <row r="24" spans="1:14" ht="18.75" x14ac:dyDescent="0.25">
      <c r="A24" s="4" t="s">
        <v>30</v>
      </c>
      <c r="B24" s="4" t="s">
        <v>0</v>
      </c>
      <c r="C24" s="4">
        <v>2</v>
      </c>
      <c r="D24" s="4" t="s">
        <v>115</v>
      </c>
      <c r="E24" s="4">
        <v>3</v>
      </c>
      <c r="F24" s="4">
        <v>5</v>
      </c>
      <c r="G24" s="4">
        <v>4</v>
      </c>
      <c r="H24" s="4">
        <v>4</v>
      </c>
      <c r="I24" s="4"/>
      <c r="J24" s="4"/>
      <c r="K24" s="4">
        <f>((E24+F24)/2+G24+H24+I24+J24)/3</f>
        <v>4</v>
      </c>
      <c r="L24" s="4">
        <v>3</v>
      </c>
      <c r="M24" s="4">
        <f>L24*K24</f>
        <v>12</v>
      </c>
      <c r="N24" s="19">
        <f>M24+M25+M26</f>
        <v>25.166666666666664</v>
      </c>
    </row>
    <row r="25" spans="1:14" ht="18.75" x14ac:dyDescent="0.25">
      <c r="A25" s="4" t="s">
        <v>30</v>
      </c>
      <c r="B25" s="4" t="s">
        <v>1</v>
      </c>
      <c r="C25" s="4">
        <v>14</v>
      </c>
      <c r="D25" s="4" t="s">
        <v>116</v>
      </c>
      <c r="E25" s="4">
        <v>4</v>
      </c>
      <c r="F25" s="4">
        <v>7</v>
      </c>
      <c r="G25" s="4">
        <v>4</v>
      </c>
      <c r="H25" s="4">
        <v>5</v>
      </c>
      <c r="I25" s="4"/>
      <c r="J25" s="4"/>
      <c r="K25" s="4">
        <f>((E25+F25)/2+G25+H25+I25+J25)/3</f>
        <v>4.833333333333333</v>
      </c>
      <c r="L25" s="4">
        <v>2</v>
      </c>
      <c r="M25" s="4">
        <f t="shared" ref="M25:M26" si="4">L25*K25</f>
        <v>9.6666666666666661</v>
      </c>
      <c r="N25" s="19"/>
    </row>
    <row r="26" spans="1:14" ht="18.75" x14ac:dyDescent="0.25">
      <c r="A26" s="4" t="s">
        <v>30</v>
      </c>
      <c r="B26" s="4" t="s">
        <v>2</v>
      </c>
      <c r="C26" s="4">
        <v>6</v>
      </c>
      <c r="D26" s="4" t="s">
        <v>117</v>
      </c>
      <c r="E26" s="4">
        <v>3</v>
      </c>
      <c r="F26" s="4">
        <v>4</v>
      </c>
      <c r="G26" s="4">
        <v>3</v>
      </c>
      <c r="H26" s="4">
        <v>4</v>
      </c>
      <c r="I26" s="4"/>
      <c r="J26" s="4"/>
      <c r="K26" s="4">
        <f>((E26+F26)/2+G26+H26+I26+J26)/3</f>
        <v>3.5</v>
      </c>
      <c r="L26" s="4">
        <v>1</v>
      </c>
      <c r="M26" s="4">
        <f t="shared" si="4"/>
        <v>3.5</v>
      </c>
      <c r="N26" s="19"/>
    </row>
    <row r="27" spans="1:14" ht="18.75" x14ac:dyDescent="0.3">
      <c r="A27" s="2" t="s">
        <v>50</v>
      </c>
      <c r="B27" s="2" t="s">
        <v>118</v>
      </c>
      <c r="C27" s="2"/>
      <c r="D27" s="2"/>
      <c r="E27" s="18" t="s">
        <v>11</v>
      </c>
      <c r="F27" s="18"/>
      <c r="G27" s="18"/>
      <c r="H27" s="18"/>
      <c r="I27" s="18"/>
      <c r="J27" s="18"/>
      <c r="K27" s="2"/>
      <c r="L27" s="2"/>
      <c r="M27" s="2"/>
    </row>
    <row r="28" spans="1:14" ht="18.75" x14ac:dyDescent="0.25">
      <c r="A28" s="4" t="s">
        <v>8</v>
      </c>
      <c r="B28" s="6" t="s">
        <v>7</v>
      </c>
      <c r="C28" s="4" t="s">
        <v>9</v>
      </c>
      <c r="D28" s="4" t="s">
        <v>10</v>
      </c>
      <c r="E28" s="4" t="s">
        <v>12</v>
      </c>
      <c r="F28" s="4" t="s">
        <v>13</v>
      </c>
      <c r="G28" s="4"/>
      <c r="H28" s="4"/>
      <c r="I28" s="4"/>
      <c r="J28" s="4"/>
      <c r="K28" s="6" t="s">
        <v>14</v>
      </c>
      <c r="L28" s="4" t="s">
        <v>15</v>
      </c>
      <c r="M28" s="4" t="s">
        <v>16</v>
      </c>
      <c r="N28" s="7" t="s">
        <v>18</v>
      </c>
    </row>
    <row r="29" spans="1:14" ht="18.75" x14ac:dyDescent="0.25">
      <c r="A29" s="4" t="s">
        <v>93</v>
      </c>
      <c r="B29" s="4" t="s">
        <v>0</v>
      </c>
      <c r="C29" s="4">
        <v>10</v>
      </c>
      <c r="D29" s="4" t="s">
        <v>95</v>
      </c>
      <c r="E29" s="4">
        <v>6</v>
      </c>
      <c r="F29" s="4">
        <v>7</v>
      </c>
      <c r="G29" s="4">
        <v>6</v>
      </c>
      <c r="H29" s="4">
        <v>7</v>
      </c>
      <c r="I29" s="4"/>
      <c r="J29" s="4"/>
      <c r="K29" s="4">
        <f>((E29+F29)/2+G29+H29+I29+J29)/3</f>
        <v>6.5</v>
      </c>
      <c r="L29" s="4">
        <v>3</v>
      </c>
      <c r="M29" s="4">
        <f>L29*K29</f>
        <v>19.5</v>
      </c>
      <c r="N29" s="19">
        <f>M29+M30+M31</f>
        <v>35.833333333333336</v>
      </c>
    </row>
    <row r="30" spans="1:14" ht="18.75" x14ac:dyDescent="0.25">
      <c r="A30" s="4" t="s">
        <v>93</v>
      </c>
      <c r="B30" s="4" t="s">
        <v>1</v>
      </c>
      <c r="C30" s="4">
        <v>2</v>
      </c>
      <c r="D30" s="4" t="s">
        <v>119</v>
      </c>
      <c r="E30" s="4">
        <v>5</v>
      </c>
      <c r="F30" s="4">
        <v>6</v>
      </c>
      <c r="G30" s="4">
        <v>5</v>
      </c>
      <c r="H30" s="4">
        <v>5</v>
      </c>
      <c r="I30" s="4"/>
      <c r="J30" s="4"/>
      <c r="K30" s="4">
        <f>((E30+F30)/2+G30+H30+I30+J30)/3</f>
        <v>5.166666666666667</v>
      </c>
      <c r="L30" s="4">
        <v>2</v>
      </c>
      <c r="M30" s="4">
        <f t="shared" ref="M30:M31" si="5">L30*K30</f>
        <v>10.333333333333334</v>
      </c>
      <c r="N30" s="19"/>
    </row>
    <row r="31" spans="1:14" ht="18.75" x14ac:dyDescent="0.25">
      <c r="A31" s="4" t="s">
        <v>93</v>
      </c>
      <c r="B31" s="4" t="s">
        <v>2</v>
      </c>
      <c r="C31" s="4">
        <v>14</v>
      </c>
      <c r="D31" s="4" t="s">
        <v>120</v>
      </c>
      <c r="E31" s="4">
        <v>5</v>
      </c>
      <c r="F31" s="4">
        <v>7</v>
      </c>
      <c r="G31" s="4">
        <v>6</v>
      </c>
      <c r="H31" s="4">
        <v>6</v>
      </c>
      <c r="I31" s="4"/>
      <c r="J31" s="4"/>
      <c r="K31" s="4">
        <f>((E31+F31)/2+G31+H31+I31+J31)/3</f>
        <v>6</v>
      </c>
      <c r="L31" s="4">
        <v>1</v>
      </c>
      <c r="M31" s="4">
        <f t="shared" si="5"/>
        <v>6</v>
      </c>
      <c r="N31" s="19"/>
    </row>
    <row r="32" spans="1:14" ht="18.75" x14ac:dyDescent="0.3">
      <c r="A32" s="2" t="s">
        <v>50</v>
      </c>
      <c r="B32" s="2" t="s">
        <v>121</v>
      </c>
      <c r="C32" s="2"/>
      <c r="D32" s="2"/>
      <c r="E32" s="18" t="s">
        <v>11</v>
      </c>
      <c r="F32" s="18"/>
      <c r="G32" s="18"/>
      <c r="H32" s="18"/>
      <c r="I32" s="18"/>
      <c r="J32" s="18"/>
      <c r="K32" s="2"/>
      <c r="L32" s="2"/>
      <c r="M32" s="2"/>
    </row>
    <row r="33" spans="1:14" ht="18.75" x14ac:dyDescent="0.25">
      <c r="A33" s="4" t="s">
        <v>8</v>
      </c>
      <c r="B33" s="6" t="s">
        <v>7</v>
      </c>
      <c r="C33" s="4" t="s">
        <v>9</v>
      </c>
      <c r="D33" s="4" t="s">
        <v>10</v>
      </c>
      <c r="E33" s="4" t="s">
        <v>12</v>
      </c>
      <c r="F33" s="4" t="s">
        <v>13</v>
      </c>
      <c r="G33" s="4"/>
      <c r="H33" s="4"/>
      <c r="I33" s="4"/>
      <c r="J33" s="4"/>
      <c r="K33" s="6" t="s">
        <v>14</v>
      </c>
      <c r="L33" s="4" t="s">
        <v>15</v>
      </c>
      <c r="M33" s="4" t="s">
        <v>16</v>
      </c>
      <c r="N33" s="7" t="s">
        <v>18</v>
      </c>
    </row>
    <row r="34" spans="1:14" ht="18.75" x14ac:dyDescent="0.25">
      <c r="A34" s="4" t="s">
        <v>25</v>
      </c>
      <c r="B34" s="4" t="s">
        <v>0</v>
      </c>
      <c r="C34" s="4">
        <v>6</v>
      </c>
      <c r="D34" s="4" t="s">
        <v>75</v>
      </c>
      <c r="E34" s="4">
        <v>4</v>
      </c>
      <c r="F34" s="4">
        <v>5</v>
      </c>
      <c r="G34" s="4">
        <v>4</v>
      </c>
      <c r="H34" s="4">
        <v>4</v>
      </c>
      <c r="I34" s="4"/>
      <c r="J34" s="4"/>
      <c r="K34" s="4">
        <f>((E34+F34)/2+G34+H34+I34+J34)/3</f>
        <v>4.166666666666667</v>
      </c>
      <c r="L34" s="4">
        <v>3</v>
      </c>
      <c r="M34" s="4">
        <f>L34*K34</f>
        <v>12.5</v>
      </c>
      <c r="N34" s="19">
        <f>M34+M35+M36</f>
        <v>27</v>
      </c>
    </row>
    <row r="35" spans="1:14" ht="18.75" x14ac:dyDescent="0.25">
      <c r="A35" s="4" t="s">
        <v>25</v>
      </c>
      <c r="B35" s="4" t="s">
        <v>1</v>
      </c>
      <c r="C35" s="4">
        <v>10</v>
      </c>
      <c r="D35" s="4" t="s">
        <v>122</v>
      </c>
      <c r="E35" s="4">
        <v>3</v>
      </c>
      <c r="F35" s="4">
        <v>5</v>
      </c>
      <c r="G35" s="4">
        <v>4</v>
      </c>
      <c r="H35" s="4">
        <v>4</v>
      </c>
      <c r="I35" s="4"/>
      <c r="J35" s="4"/>
      <c r="K35" s="4">
        <f>((E35+F35)/2+G35+H35+I35+J35)/3</f>
        <v>4</v>
      </c>
      <c r="L35" s="4">
        <v>2</v>
      </c>
      <c r="M35" s="4">
        <f t="shared" ref="M35:M36" si="6">L35*K35</f>
        <v>8</v>
      </c>
      <c r="N35" s="19"/>
    </row>
    <row r="36" spans="1:14" ht="18.75" x14ac:dyDescent="0.25">
      <c r="A36" s="4" t="s">
        <v>25</v>
      </c>
      <c r="B36" s="4" t="s">
        <v>2</v>
      </c>
      <c r="C36" s="4">
        <v>2</v>
      </c>
      <c r="D36" s="4" t="s">
        <v>74</v>
      </c>
      <c r="E36" s="4">
        <v>6</v>
      </c>
      <c r="F36" s="4">
        <v>7</v>
      </c>
      <c r="G36" s="4">
        <v>6</v>
      </c>
      <c r="H36" s="4">
        <v>7</v>
      </c>
      <c r="I36" s="4"/>
      <c r="J36" s="4"/>
      <c r="K36" s="4">
        <f>((E36+F36)/2+G36+H36+I36+J36)/3</f>
        <v>6.5</v>
      </c>
      <c r="L36" s="4">
        <v>1</v>
      </c>
      <c r="M36" s="4">
        <f t="shared" si="6"/>
        <v>6.5</v>
      </c>
      <c r="N36" s="19"/>
    </row>
    <row r="37" spans="1:14" ht="18.75" x14ac:dyDescent="0.3">
      <c r="A37" s="2" t="s">
        <v>50</v>
      </c>
      <c r="B37" s="2"/>
      <c r="C37" s="2"/>
      <c r="D37" s="2"/>
      <c r="E37" s="18" t="s">
        <v>11</v>
      </c>
      <c r="F37" s="18"/>
      <c r="G37" s="18"/>
      <c r="H37" s="18"/>
      <c r="I37" s="18"/>
      <c r="J37" s="18"/>
      <c r="K37" s="2"/>
      <c r="L37" s="2"/>
      <c r="M37" s="2"/>
    </row>
    <row r="38" spans="1:14" ht="18.75" x14ac:dyDescent="0.25">
      <c r="A38" s="4" t="s">
        <v>8</v>
      </c>
      <c r="B38" s="6" t="s">
        <v>7</v>
      </c>
      <c r="C38" s="4" t="s">
        <v>9</v>
      </c>
      <c r="D38" s="4" t="s">
        <v>10</v>
      </c>
      <c r="E38" s="4" t="s">
        <v>12</v>
      </c>
      <c r="F38" s="4" t="s">
        <v>13</v>
      </c>
      <c r="G38" s="4"/>
      <c r="H38" s="4"/>
      <c r="I38" s="4"/>
      <c r="J38" s="4"/>
      <c r="K38" s="6" t="s">
        <v>14</v>
      </c>
      <c r="L38" s="4" t="s">
        <v>15</v>
      </c>
      <c r="M38" s="4" t="s">
        <v>16</v>
      </c>
      <c r="N38" s="7" t="s">
        <v>18</v>
      </c>
    </row>
    <row r="39" spans="1:14" ht="18.75" x14ac:dyDescent="0.25">
      <c r="A39" s="4" t="s">
        <v>27</v>
      </c>
      <c r="B39" s="4" t="s">
        <v>0</v>
      </c>
      <c r="C39" s="4">
        <v>14</v>
      </c>
      <c r="D39" s="4" t="s">
        <v>83</v>
      </c>
      <c r="E39" s="4">
        <v>6</v>
      </c>
      <c r="F39" s="4">
        <v>7</v>
      </c>
      <c r="G39" s="4">
        <v>6</v>
      </c>
      <c r="H39" s="4">
        <v>6</v>
      </c>
      <c r="I39" s="4"/>
      <c r="J39" s="4"/>
      <c r="K39" s="4">
        <f>((E39+F39)/2+G39+H39+I39+J39)/3</f>
        <v>6.166666666666667</v>
      </c>
      <c r="L39" s="4">
        <v>3</v>
      </c>
      <c r="M39" s="4">
        <f>L39*K39</f>
        <v>18.5</v>
      </c>
      <c r="N39" s="19">
        <f>M39+M40+M41</f>
        <v>37.5</v>
      </c>
    </row>
    <row r="40" spans="1:14" ht="18.75" x14ac:dyDescent="0.25">
      <c r="A40" s="4" t="s">
        <v>27</v>
      </c>
      <c r="B40" s="4" t="s">
        <v>1</v>
      </c>
      <c r="C40" s="4">
        <v>6</v>
      </c>
      <c r="D40" s="4" t="s">
        <v>85</v>
      </c>
      <c r="E40" s="4">
        <v>3</v>
      </c>
      <c r="F40" s="4">
        <v>8</v>
      </c>
      <c r="G40" s="4">
        <v>7</v>
      </c>
      <c r="H40" s="4">
        <v>7</v>
      </c>
      <c r="I40" s="4"/>
      <c r="J40" s="4"/>
      <c r="K40" s="4">
        <f>((E40+F40)/2+G40+H40+I40+J40)/3</f>
        <v>6.5</v>
      </c>
      <c r="L40" s="4">
        <v>2</v>
      </c>
      <c r="M40" s="4">
        <f t="shared" ref="M40:M41" si="7">L40*K40</f>
        <v>13</v>
      </c>
      <c r="N40" s="19"/>
    </row>
    <row r="41" spans="1:14" ht="18.75" x14ac:dyDescent="0.25">
      <c r="A41" s="4" t="s">
        <v>27</v>
      </c>
      <c r="B41" s="4" t="s">
        <v>2</v>
      </c>
      <c r="C41" s="4">
        <v>10</v>
      </c>
      <c r="D41" s="4" t="s">
        <v>123</v>
      </c>
      <c r="E41" s="4">
        <v>5</v>
      </c>
      <c r="F41" s="4">
        <v>7</v>
      </c>
      <c r="G41" s="4">
        <v>6</v>
      </c>
      <c r="H41" s="4">
        <v>6</v>
      </c>
      <c r="I41" s="4"/>
      <c r="J41" s="4"/>
      <c r="K41" s="4">
        <f>((E41+F41)/2+G41+H41+I41+J41)/3</f>
        <v>6</v>
      </c>
      <c r="L41" s="4">
        <v>1</v>
      </c>
      <c r="M41" s="4">
        <f t="shared" si="7"/>
        <v>6</v>
      </c>
      <c r="N41" s="19"/>
    </row>
    <row r="42" spans="1:14" ht="18.75" x14ac:dyDescent="0.3">
      <c r="A42" s="2" t="s">
        <v>19</v>
      </c>
      <c r="B42" s="2">
        <v>14</v>
      </c>
      <c r="C42" s="2"/>
      <c r="D42" s="2"/>
      <c r="E42" s="18" t="s">
        <v>11</v>
      </c>
      <c r="F42" s="18"/>
      <c r="G42" s="18"/>
      <c r="H42" s="18"/>
      <c r="I42" s="18"/>
      <c r="J42" s="18"/>
      <c r="K42" s="2"/>
      <c r="L42" s="2"/>
      <c r="M42" s="2"/>
    </row>
    <row r="43" spans="1:14" ht="18.75" x14ac:dyDescent="0.25">
      <c r="A43" s="4" t="s">
        <v>8</v>
      </c>
      <c r="B43" s="6" t="s">
        <v>7</v>
      </c>
      <c r="C43" s="4" t="s">
        <v>9</v>
      </c>
      <c r="D43" s="4" t="s">
        <v>10</v>
      </c>
      <c r="E43" s="4" t="s">
        <v>12</v>
      </c>
      <c r="F43" s="4" t="s">
        <v>13</v>
      </c>
      <c r="G43" s="4"/>
      <c r="H43" s="4"/>
      <c r="I43" s="4"/>
      <c r="J43" s="4"/>
      <c r="K43" s="6" t="s">
        <v>14</v>
      </c>
      <c r="L43" s="4" t="s">
        <v>15</v>
      </c>
      <c r="M43" s="4" t="s">
        <v>16</v>
      </c>
      <c r="N43" s="7" t="s">
        <v>18</v>
      </c>
    </row>
    <row r="44" spans="1:14" ht="18.75" x14ac:dyDescent="0.25">
      <c r="A44" s="4" t="s">
        <v>26</v>
      </c>
      <c r="B44" s="4" t="s">
        <v>0</v>
      </c>
      <c r="C44" s="4">
        <v>2</v>
      </c>
      <c r="D44" s="4" t="s">
        <v>37</v>
      </c>
      <c r="E44" s="4">
        <v>4</v>
      </c>
      <c r="F44" s="4">
        <v>7</v>
      </c>
      <c r="G44" s="4">
        <v>6</v>
      </c>
      <c r="H44" s="4">
        <v>5</v>
      </c>
      <c r="I44" s="4"/>
      <c r="J44" s="4"/>
      <c r="K44" s="4">
        <f>((E44+F44)/2+G44+H44+I44+J44)/3</f>
        <v>5.5</v>
      </c>
      <c r="L44" s="4">
        <v>3</v>
      </c>
      <c r="M44" s="4">
        <f>L44*K44</f>
        <v>16.5</v>
      </c>
      <c r="N44" s="19">
        <f>M44+M45+M46</f>
        <v>33.666666666666664</v>
      </c>
    </row>
    <row r="45" spans="1:14" ht="18.75" x14ac:dyDescent="0.25">
      <c r="A45" s="4" t="s">
        <v>26</v>
      </c>
      <c r="B45" s="4" t="s">
        <v>1</v>
      </c>
      <c r="C45" s="4">
        <v>5</v>
      </c>
      <c r="D45" s="4" t="s">
        <v>36</v>
      </c>
      <c r="E45" s="4">
        <v>4</v>
      </c>
      <c r="F45" s="4">
        <v>8</v>
      </c>
      <c r="G45" s="4">
        <v>6</v>
      </c>
      <c r="H45" s="4">
        <v>6</v>
      </c>
      <c r="I45" s="4"/>
      <c r="J45" s="4"/>
      <c r="K45" s="4">
        <f>((E45+F45)/2+G45+H45+I45+J45)/3</f>
        <v>6</v>
      </c>
      <c r="L45" s="4">
        <v>2</v>
      </c>
      <c r="M45" s="4">
        <f t="shared" ref="M45:M46" si="8">L45*K45</f>
        <v>12</v>
      </c>
      <c r="N45" s="19"/>
    </row>
    <row r="46" spans="1:14" ht="18.75" x14ac:dyDescent="0.25">
      <c r="A46" s="4" t="s">
        <v>26</v>
      </c>
      <c r="B46" s="4" t="s">
        <v>2</v>
      </c>
      <c r="C46" s="4">
        <v>15</v>
      </c>
      <c r="D46" s="4" t="s">
        <v>124</v>
      </c>
      <c r="E46" s="4">
        <v>5</v>
      </c>
      <c r="F46" s="4">
        <v>6</v>
      </c>
      <c r="G46" s="4">
        <v>5</v>
      </c>
      <c r="H46" s="4">
        <v>5</v>
      </c>
      <c r="I46" s="4"/>
      <c r="J46" s="4"/>
      <c r="K46" s="4">
        <f>((E46+F46)/2+G46+H46+I46+J46)/3</f>
        <v>5.166666666666667</v>
      </c>
      <c r="L46" s="4">
        <v>1</v>
      </c>
      <c r="M46" s="4">
        <f t="shared" si="8"/>
        <v>5.166666666666667</v>
      </c>
      <c r="N46" s="19"/>
    </row>
    <row r="47" spans="1:14" ht="18.75" x14ac:dyDescent="0.3">
      <c r="A47" s="2" t="s">
        <v>19</v>
      </c>
      <c r="B47" s="2"/>
      <c r="C47" s="2"/>
      <c r="D47" s="2"/>
      <c r="E47" s="18" t="s">
        <v>11</v>
      </c>
      <c r="F47" s="18"/>
      <c r="G47" s="18"/>
      <c r="H47" s="18"/>
      <c r="I47" s="18"/>
      <c r="J47" s="18"/>
      <c r="K47" s="2"/>
      <c r="L47" s="2"/>
      <c r="M47" s="2"/>
    </row>
    <row r="48" spans="1:14" ht="18.75" x14ac:dyDescent="0.25">
      <c r="A48" s="4" t="s">
        <v>8</v>
      </c>
      <c r="B48" s="6" t="s">
        <v>7</v>
      </c>
      <c r="C48" s="4" t="s">
        <v>9</v>
      </c>
      <c r="D48" s="4" t="s">
        <v>10</v>
      </c>
      <c r="E48" s="4" t="s">
        <v>12</v>
      </c>
      <c r="F48" s="4" t="s">
        <v>13</v>
      </c>
      <c r="G48" s="4"/>
      <c r="H48" s="4"/>
      <c r="I48" s="4"/>
      <c r="J48" s="4"/>
      <c r="K48" s="6" t="s">
        <v>14</v>
      </c>
      <c r="L48" s="4" t="s">
        <v>15</v>
      </c>
      <c r="M48" s="4" t="s">
        <v>16</v>
      </c>
      <c r="N48" s="7" t="s">
        <v>18</v>
      </c>
    </row>
    <row r="49" spans="1:14" ht="18.75" x14ac:dyDescent="0.25">
      <c r="A49" s="4" t="s">
        <v>24</v>
      </c>
      <c r="B49" s="4" t="s">
        <v>0</v>
      </c>
      <c r="C49" s="4">
        <v>15</v>
      </c>
      <c r="D49" s="4" t="s">
        <v>125</v>
      </c>
      <c r="E49" s="4">
        <v>5</v>
      </c>
      <c r="F49" s="4">
        <v>7</v>
      </c>
      <c r="G49" s="4">
        <v>7</v>
      </c>
      <c r="H49" s="4">
        <v>6</v>
      </c>
      <c r="I49" s="4"/>
      <c r="J49" s="4"/>
      <c r="K49" s="4">
        <f>((E49+F49)/2+G49+H49+I49+J49)/3</f>
        <v>6.333333333333333</v>
      </c>
      <c r="L49" s="4">
        <v>3</v>
      </c>
      <c r="M49" s="4">
        <f>L49*K49</f>
        <v>19</v>
      </c>
      <c r="N49" s="19">
        <f>M49+M50+M51</f>
        <v>34</v>
      </c>
    </row>
    <row r="50" spans="1:14" ht="18.75" x14ac:dyDescent="0.25">
      <c r="A50" s="4" t="s">
        <v>24</v>
      </c>
      <c r="B50" s="4" t="s">
        <v>1</v>
      </c>
      <c r="C50" s="4">
        <v>2</v>
      </c>
      <c r="D50" s="4" t="s">
        <v>125</v>
      </c>
      <c r="E50" s="4">
        <v>3</v>
      </c>
      <c r="F50" s="4">
        <v>5</v>
      </c>
      <c r="G50" s="4">
        <v>3</v>
      </c>
      <c r="H50" s="4">
        <v>5</v>
      </c>
      <c r="I50" s="4"/>
      <c r="J50" s="4"/>
      <c r="K50" s="4">
        <f>((E50+F50)/2+G50+H50+I50+J50)/3</f>
        <v>4</v>
      </c>
      <c r="L50" s="4">
        <v>2</v>
      </c>
      <c r="M50" s="4">
        <f t="shared" ref="M50:M51" si="9">L50*K50</f>
        <v>8</v>
      </c>
      <c r="N50" s="19"/>
    </row>
    <row r="51" spans="1:14" ht="18.75" x14ac:dyDescent="0.25">
      <c r="A51" s="4" t="s">
        <v>24</v>
      </c>
      <c r="B51" s="4" t="s">
        <v>2</v>
      </c>
      <c r="C51" s="4">
        <v>5</v>
      </c>
      <c r="D51" s="4" t="s">
        <v>68</v>
      </c>
      <c r="E51" s="4">
        <v>4</v>
      </c>
      <c r="F51" s="4">
        <v>10</v>
      </c>
      <c r="G51" s="4">
        <v>6</v>
      </c>
      <c r="H51" s="4">
        <v>8</v>
      </c>
      <c r="I51" s="4"/>
      <c r="J51" s="4"/>
      <c r="K51" s="4">
        <f>((E51+F51)/2+G51+H51+I51+J51)/3</f>
        <v>7</v>
      </c>
      <c r="L51" s="4">
        <v>1</v>
      </c>
      <c r="M51" s="4">
        <f t="shared" si="9"/>
        <v>7</v>
      </c>
      <c r="N51" s="19"/>
    </row>
    <row r="52" spans="1:14" ht="18.75" x14ac:dyDescent="0.3">
      <c r="A52" s="2" t="s">
        <v>19</v>
      </c>
      <c r="B52" s="2">
        <v>3</v>
      </c>
      <c r="C52" s="2"/>
      <c r="D52" s="2"/>
      <c r="E52" s="18" t="s">
        <v>11</v>
      </c>
      <c r="F52" s="18"/>
      <c r="G52" s="18"/>
      <c r="H52" s="18"/>
      <c r="I52" s="18"/>
      <c r="J52" s="18"/>
      <c r="K52" s="2"/>
      <c r="L52" s="2"/>
      <c r="M52" s="2"/>
    </row>
    <row r="53" spans="1:14" ht="18.75" x14ac:dyDescent="0.25">
      <c r="A53" s="4" t="s">
        <v>8</v>
      </c>
      <c r="B53" s="6" t="s">
        <v>7</v>
      </c>
      <c r="C53" s="4" t="s">
        <v>9</v>
      </c>
      <c r="D53" s="4" t="s">
        <v>10</v>
      </c>
      <c r="E53" s="4" t="s">
        <v>12</v>
      </c>
      <c r="F53" s="4" t="s">
        <v>13</v>
      </c>
      <c r="G53" s="4"/>
      <c r="H53" s="4"/>
      <c r="I53" s="4"/>
      <c r="J53" s="4"/>
      <c r="K53" s="6" t="s">
        <v>14</v>
      </c>
      <c r="L53" s="4" t="s">
        <v>15</v>
      </c>
      <c r="M53" s="4" t="s">
        <v>16</v>
      </c>
      <c r="N53" s="7" t="s">
        <v>18</v>
      </c>
    </row>
    <row r="54" spans="1:14" ht="18.75" x14ac:dyDescent="0.25">
      <c r="A54" s="4" t="s">
        <v>23</v>
      </c>
      <c r="B54" s="4" t="s">
        <v>0</v>
      </c>
      <c r="C54" s="4">
        <v>5</v>
      </c>
      <c r="D54" s="4" t="s">
        <v>52</v>
      </c>
      <c r="E54" s="4">
        <v>6</v>
      </c>
      <c r="F54" s="4">
        <v>7</v>
      </c>
      <c r="G54" s="4">
        <v>6</v>
      </c>
      <c r="H54" s="4">
        <v>7</v>
      </c>
      <c r="I54" s="4"/>
      <c r="J54" s="4"/>
      <c r="K54" s="4">
        <f>((E54+F54)/2+G54+H54+I54+J54)/3</f>
        <v>6.5</v>
      </c>
      <c r="L54" s="4">
        <v>3</v>
      </c>
      <c r="M54" s="4">
        <f>L54*K54</f>
        <v>19.5</v>
      </c>
      <c r="N54" s="19">
        <f>M54+M55+M56</f>
        <v>36.666666666666664</v>
      </c>
    </row>
    <row r="55" spans="1:14" ht="18.75" x14ac:dyDescent="0.25">
      <c r="A55" s="4" t="s">
        <v>23</v>
      </c>
      <c r="B55" s="4" t="s">
        <v>1</v>
      </c>
      <c r="C55" s="4">
        <v>15</v>
      </c>
      <c r="D55" s="4" t="s">
        <v>126</v>
      </c>
      <c r="E55" s="4">
        <v>4</v>
      </c>
      <c r="F55" s="4">
        <v>6</v>
      </c>
      <c r="G55" s="4">
        <v>6</v>
      </c>
      <c r="H55" s="4">
        <v>5</v>
      </c>
      <c r="I55" s="4"/>
      <c r="J55" s="4"/>
      <c r="K55" s="4">
        <f>((E55+F55)/2+G55+H55+I55+J55)/3</f>
        <v>5.333333333333333</v>
      </c>
      <c r="L55" s="4">
        <v>2</v>
      </c>
      <c r="M55" s="4">
        <f t="shared" ref="M55:M56" si="10">L55*K55</f>
        <v>10.666666666666666</v>
      </c>
      <c r="N55" s="19"/>
    </row>
    <row r="56" spans="1:14" ht="18.75" x14ac:dyDescent="0.25">
      <c r="A56" s="4" t="s">
        <v>23</v>
      </c>
      <c r="B56" s="4" t="s">
        <v>2</v>
      </c>
      <c r="C56" s="4">
        <v>2</v>
      </c>
      <c r="D56" s="4" t="s">
        <v>126</v>
      </c>
      <c r="E56" s="4">
        <v>4</v>
      </c>
      <c r="F56" s="4">
        <v>9</v>
      </c>
      <c r="G56" s="4">
        <v>6</v>
      </c>
      <c r="H56" s="4">
        <v>7</v>
      </c>
      <c r="I56" s="4"/>
      <c r="J56" s="4"/>
      <c r="K56" s="4">
        <f>((E56+F56)/2+G56+H56+I56+J56)/3</f>
        <v>6.5</v>
      </c>
      <c r="L56" s="4">
        <v>1</v>
      </c>
      <c r="M56" s="4">
        <f t="shared" si="10"/>
        <v>6.5</v>
      </c>
      <c r="N56" s="19"/>
    </row>
    <row r="57" spans="1:14" ht="18.75" x14ac:dyDescent="0.3">
      <c r="A57" s="2" t="s">
        <v>6</v>
      </c>
      <c r="B57" s="2" t="s">
        <v>127</v>
      </c>
      <c r="C57" s="2"/>
      <c r="D57" s="2"/>
      <c r="E57" s="18" t="s">
        <v>11</v>
      </c>
      <c r="F57" s="18"/>
      <c r="G57" s="18"/>
      <c r="H57" s="18"/>
      <c r="I57" s="18"/>
      <c r="J57" s="18"/>
      <c r="K57" s="2"/>
      <c r="L57" s="2"/>
      <c r="M57" s="2"/>
    </row>
    <row r="58" spans="1:14" ht="18.75" x14ac:dyDescent="0.25">
      <c r="A58" s="4" t="s">
        <v>8</v>
      </c>
      <c r="B58" s="6" t="s">
        <v>7</v>
      </c>
      <c r="C58" s="4" t="s">
        <v>9</v>
      </c>
      <c r="D58" s="4" t="s">
        <v>10</v>
      </c>
      <c r="E58" s="4" t="s">
        <v>12</v>
      </c>
      <c r="F58" s="4" t="s">
        <v>13</v>
      </c>
      <c r="G58" s="4"/>
      <c r="H58" s="4"/>
      <c r="I58" s="4"/>
      <c r="J58" s="4"/>
      <c r="K58" s="6" t="s">
        <v>14</v>
      </c>
      <c r="L58" s="4" t="s">
        <v>15</v>
      </c>
      <c r="M58" s="4" t="s">
        <v>16</v>
      </c>
      <c r="N58" s="7" t="s">
        <v>18</v>
      </c>
    </row>
    <row r="59" spans="1:14" ht="18.75" x14ac:dyDescent="0.25">
      <c r="A59" s="4" t="s">
        <v>42</v>
      </c>
      <c r="B59" s="4" t="s">
        <v>0</v>
      </c>
      <c r="C59" s="4">
        <v>4</v>
      </c>
      <c r="D59" s="4" t="s">
        <v>128</v>
      </c>
      <c r="E59" s="4">
        <v>2</v>
      </c>
      <c r="F59" s="4">
        <v>3</v>
      </c>
      <c r="G59" s="4">
        <v>2</v>
      </c>
      <c r="H59" s="4">
        <v>3</v>
      </c>
      <c r="I59" s="4"/>
      <c r="J59" s="4"/>
      <c r="K59" s="4">
        <f>((E59+F59)/2+G59+H59+I59+J59)/3</f>
        <v>2.5</v>
      </c>
      <c r="L59" s="4">
        <v>3</v>
      </c>
      <c r="M59" s="4">
        <f>L59*K59</f>
        <v>7.5</v>
      </c>
      <c r="N59" s="19">
        <f>M59+M60+M61</f>
        <v>24.999999999999996</v>
      </c>
    </row>
    <row r="60" spans="1:14" ht="18.75" x14ac:dyDescent="0.25">
      <c r="A60" s="4" t="s">
        <v>42</v>
      </c>
      <c r="B60" s="4" t="s">
        <v>1</v>
      </c>
      <c r="C60" s="4">
        <v>1</v>
      </c>
      <c r="D60" s="4" t="s">
        <v>128</v>
      </c>
      <c r="E60" s="4">
        <v>5</v>
      </c>
      <c r="F60" s="4">
        <v>7</v>
      </c>
      <c r="G60" s="4">
        <v>7</v>
      </c>
      <c r="H60" s="4">
        <v>6</v>
      </c>
      <c r="I60" s="4"/>
      <c r="J60" s="4"/>
      <c r="K60" s="4">
        <f>((E60+F60)/2+G60+H60+I60+J60)/3</f>
        <v>6.333333333333333</v>
      </c>
      <c r="L60" s="4">
        <v>2</v>
      </c>
      <c r="M60" s="4">
        <f t="shared" ref="M60:M61" si="11">L60*K60</f>
        <v>12.666666666666666</v>
      </c>
      <c r="N60" s="19"/>
    </row>
    <row r="61" spans="1:14" ht="18.75" x14ac:dyDescent="0.25">
      <c r="A61" s="4" t="s">
        <v>42</v>
      </c>
      <c r="B61" s="4" t="s">
        <v>2</v>
      </c>
      <c r="C61" s="4">
        <v>8</v>
      </c>
      <c r="D61" s="4" t="s">
        <v>129</v>
      </c>
      <c r="E61" s="4">
        <v>3</v>
      </c>
      <c r="F61" s="4">
        <v>8</v>
      </c>
      <c r="G61" s="4">
        <v>4</v>
      </c>
      <c r="H61" s="4">
        <v>5</v>
      </c>
      <c r="I61" s="4"/>
      <c r="J61" s="4"/>
      <c r="K61" s="4">
        <f>((E61+F61)/2+G61+H61+I61+J61)/3</f>
        <v>4.833333333333333</v>
      </c>
      <c r="L61" s="4">
        <v>1</v>
      </c>
      <c r="M61" s="4">
        <f t="shared" si="11"/>
        <v>4.833333333333333</v>
      </c>
      <c r="N61" s="19"/>
    </row>
    <row r="62" spans="1:14" ht="18.75" x14ac:dyDescent="0.3">
      <c r="A62" s="2" t="s">
        <v>6</v>
      </c>
      <c r="B62" s="2" t="s">
        <v>130</v>
      </c>
      <c r="C62" s="2"/>
      <c r="D62" s="2"/>
      <c r="E62" s="18" t="s">
        <v>11</v>
      </c>
      <c r="F62" s="18"/>
      <c r="G62" s="18"/>
      <c r="H62" s="18"/>
      <c r="I62" s="18"/>
      <c r="J62" s="18"/>
      <c r="K62" s="2"/>
      <c r="L62" s="2"/>
      <c r="M62" s="2"/>
    </row>
    <row r="63" spans="1:14" ht="18.75" x14ac:dyDescent="0.25">
      <c r="A63" s="4" t="s">
        <v>8</v>
      </c>
      <c r="B63" s="6" t="s">
        <v>7</v>
      </c>
      <c r="C63" s="4" t="s">
        <v>9</v>
      </c>
      <c r="D63" s="4" t="s">
        <v>10</v>
      </c>
      <c r="E63" s="4" t="s">
        <v>12</v>
      </c>
      <c r="F63" s="4" t="s">
        <v>13</v>
      </c>
      <c r="G63" s="4"/>
      <c r="H63" s="4"/>
      <c r="I63" s="4"/>
      <c r="J63" s="4"/>
      <c r="K63" s="6" t="s">
        <v>14</v>
      </c>
      <c r="L63" s="4" t="s">
        <v>15</v>
      </c>
      <c r="M63" s="4" t="s">
        <v>16</v>
      </c>
      <c r="N63" s="7" t="s">
        <v>18</v>
      </c>
    </row>
    <row r="64" spans="1:14" ht="18.75" x14ac:dyDescent="0.25">
      <c r="A64" s="4" t="s">
        <v>20</v>
      </c>
      <c r="B64" s="4" t="s">
        <v>0</v>
      </c>
      <c r="C64" s="4">
        <v>8</v>
      </c>
      <c r="D64" s="4" t="s">
        <v>131</v>
      </c>
      <c r="E64" s="4">
        <v>5</v>
      </c>
      <c r="F64" s="4">
        <v>6</v>
      </c>
      <c r="G64" s="4">
        <v>5</v>
      </c>
      <c r="H64" s="4">
        <v>5</v>
      </c>
      <c r="I64" s="4"/>
      <c r="J64" s="4"/>
      <c r="K64" s="4">
        <f>((E64+F64)/2+G64+H64+I64+J64)/3</f>
        <v>5.166666666666667</v>
      </c>
      <c r="L64" s="4">
        <v>3</v>
      </c>
      <c r="M64" s="4">
        <f>L64*K64</f>
        <v>15.5</v>
      </c>
      <c r="N64" s="19">
        <f>M64+M65+M66</f>
        <v>36</v>
      </c>
    </row>
    <row r="65" spans="1:14" ht="18.75" x14ac:dyDescent="0.25">
      <c r="A65" s="4" t="s">
        <v>20</v>
      </c>
      <c r="B65" s="4" t="s">
        <v>1</v>
      </c>
      <c r="C65" s="4">
        <v>4</v>
      </c>
      <c r="D65" s="4" t="s">
        <v>132</v>
      </c>
      <c r="E65" s="4">
        <v>6</v>
      </c>
      <c r="F65" s="4">
        <v>9</v>
      </c>
      <c r="G65" s="4">
        <v>6</v>
      </c>
      <c r="H65" s="4">
        <v>9</v>
      </c>
      <c r="I65" s="4"/>
      <c r="J65" s="4"/>
      <c r="K65" s="4">
        <f>((E65+F65)/2+G65+H65+I65+J65)/3</f>
        <v>7.5</v>
      </c>
      <c r="L65" s="4">
        <v>2</v>
      </c>
      <c r="M65" s="4">
        <f t="shared" ref="M65:M66" si="12">L65*K65</f>
        <v>15</v>
      </c>
      <c r="N65" s="19"/>
    </row>
    <row r="66" spans="1:14" ht="18.75" x14ac:dyDescent="0.25">
      <c r="A66" s="4" t="s">
        <v>20</v>
      </c>
      <c r="B66" s="4" t="s">
        <v>2</v>
      </c>
      <c r="C66" s="4">
        <v>1</v>
      </c>
      <c r="D66" s="4" t="s">
        <v>132</v>
      </c>
      <c r="E66" s="4">
        <v>4</v>
      </c>
      <c r="F66" s="4">
        <v>7</v>
      </c>
      <c r="G66" s="4">
        <v>6</v>
      </c>
      <c r="H66" s="4">
        <v>5</v>
      </c>
      <c r="I66" s="4"/>
      <c r="J66" s="4"/>
      <c r="K66" s="4">
        <f>((E66+F66)/2+G66+H66+I66+J66)/3</f>
        <v>5.5</v>
      </c>
      <c r="L66" s="4">
        <v>1</v>
      </c>
      <c r="M66" s="4">
        <f t="shared" si="12"/>
        <v>5.5</v>
      </c>
      <c r="N66" s="19"/>
    </row>
    <row r="67" spans="1:14" ht="18.75" x14ac:dyDescent="0.3">
      <c r="A67" s="2" t="s">
        <v>6</v>
      </c>
      <c r="B67" s="2">
        <v>10</v>
      </c>
      <c r="C67" s="2"/>
      <c r="D67" s="2"/>
      <c r="E67" s="18" t="s">
        <v>11</v>
      </c>
      <c r="F67" s="18"/>
      <c r="G67" s="18"/>
      <c r="H67" s="18"/>
      <c r="I67" s="18"/>
      <c r="J67" s="18"/>
      <c r="K67" s="2"/>
      <c r="L67" s="2"/>
      <c r="M67" s="2"/>
    </row>
    <row r="68" spans="1:14" ht="18.75" x14ac:dyDescent="0.25">
      <c r="A68" s="4" t="s">
        <v>8</v>
      </c>
      <c r="B68" s="6" t="s">
        <v>7</v>
      </c>
      <c r="C68" s="4" t="s">
        <v>9</v>
      </c>
      <c r="D68" s="4" t="s">
        <v>10</v>
      </c>
      <c r="E68" s="4" t="s">
        <v>12</v>
      </c>
      <c r="F68" s="4" t="s">
        <v>13</v>
      </c>
      <c r="G68" s="4"/>
      <c r="H68" s="4"/>
      <c r="I68" s="4"/>
      <c r="J68" s="4"/>
      <c r="K68" s="6" t="s">
        <v>14</v>
      </c>
      <c r="L68" s="4" t="s">
        <v>15</v>
      </c>
      <c r="M68" s="4" t="s">
        <v>16</v>
      </c>
      <c r="N68" s="7" t="s">
        <v>18</v>
      </c>
    </row>
    <row r="69" spans="1:14" ht="18.75" x14ac:dyDescent="0.25">
      <c r="A69" s="4" t="s">
        <v>28</v>
      </c>
      <c r="B69" s="4" t="s">
        <v>0</v>
      </c>
      <c r="C69" s="4">
        <v>1</v>
      </c>
      <c r="D69" s="4" t="s">
        <v>133</v>
      </c>
      <c r="E69" s="4">
        <v>9</v>
      </c>
      <c r="F69" s="4">
        <v>10</v>
      </c>
      <c r="G69" s="4">
        <v>9</v>
      </c>
      <c r="H69" s="4">
        <v>9</v>
      </c>
      <c r="I69" s="4"/>
      <c r="J69" s="4"/>
      <c r="K69" s="4">
        <f>((E69+F69)/2+G69+H69+I69+J69)/3</f>
        <v>9.1666666666666661</v>
      </c>
      <c r="L69" s="4">
        <v>3</v>
      </c>
      <c r="M69" s="4">
        <f>L69*K69</f>
        <v>27.5</v>
      </c>
      <c r="N69" s="19">
        <f>M69+M70+M71</f>
        <v>51.166666666666664</v>
      </c>
    </row>
    <row r="70" spans="1:14" ht="18.75" x14ac:dyDescent="0.25">
      <c r="A70" s="4" t="s">
        <v>28</v>
      </c>
      <c r="B70" s="4" t="s">
        <v>1</v>
      </c>
      <c r="C70" s="4">
        <v>8</v>
      </c>
      <c r="D70" s="4" t="s">
        <v>60</v>
      </c>
      <c r="E70" s="4">
        <v>8</v>
      </c>
      <c r="F70" s="4">
        <v>8</v>
      </c>
      <c r="G70" s="4">
        <v>8</v>
      </c>
      <c r="H70" s="4">
        <v>8</v>
      </c>
      <c r="I70" s="4"/>
      <c r="J70" s="4"/>
      <c r="K70" s="4">
        <f>((E70+F70)/2+G70+H70+I70+J70)/3</f>
        <v>8</v>
      </c>
      <c r="L70" s="4">
        <v>2</v>
      </c>
      <c r="M70" s="4">
        <f t="shared" ref="M70:M71" si="13">L70*K70</f>
        <v>16</v>
      </c>
      <c r="N70" s="19"/>
    </row>
    <row r="71" spans="1:14" ht="18.75" x14ac:dyDescent="0.25">
      <c r="A71" s="4" t="s">
        <v>28</v>
      </c>
      <c r="B71" s="4" t="s">
        <v>2</v>
      </c>
      <c r="C71" s="4">
        <v>4</v>
      </c>
      <c r="D71" s="4" t="s">
        <v>133</v>
      </c>
      <c r="E71" s="4">
        <v>7</v>
      </c>
      <c r="F71" s="4">
        <v>9</v>
      </c>
      <c r="G71" s="4">
        <v>8</v>
      </c>
      <c r="H71" s="4">
        <v>7</v>
      </c>
      <c r="I71" s="4"/>
      <c r="J71" s="4"/>
      <c r="K71" s="4">
        <f>((E71+F71)/2+G71+H71+I71+J71)/3</f>
        <v>7.666666666666667</v>
      </c>
      <c r="L71" s="4">
        <v>1</v>
      </c>
      <c r="M71" s="4">
        <f t="shared" si="13"/>
        <v>7.666666666666667</v>
      </c>
      <c r="N71" s="19"/>
    </row>
    <row r="72" spans="1:14" ht="18.75" x14ac:dyDescent="0.3">
      <c r="A72" s="2" t="s">
        <v>5</v>
      </c>
      <c r="B72" s="2"/>
      <c r="C72" s="2"/>
      <c r="D72" s="2"/>
      <c r="E72" s="18" t="s">
        <v>11</v>
      </c>
      <c r="F72" s="18"/>
      <c r="G72" s="18"/>
      <c r="H72" s="18"/>
      <c r="I72" s="18"/>
      <c r="J72" s="18"/>
      <c r="K72" s="2"/>
      <c r="L72" s="2"/>
      <c r="M72" s="2"/>
    </row>
    <row r="73" spans="1:14" ht="18.75" x14ac:dyDescent="0.25">
      <c r="A73" s="4" t="s">
        <v>8</v>
      </c>
      <c r="B73" s="6" t="s">
        <v>7</v>
      </c>
      <c r="C73" s="4" t="s">
        <v>9</v>
      </c>
      <c r="D73" s="4" t="s">
        <v>10</v>
      </c>
      <c r="E73" s="4" t="s">
        <v>12</v>
      </c>
      <c r="F73" s="4" t="s">
        <v>13</v>
      </c>
      <c r="G73" s="4"/>
      <c r="H73" s="4"/>
      <c r="I73" s="4"/>
      <c r="J73" s="4"/>
      <c r="K73" s="6" t="s">
        <v>14</v>
      </c>
      <c r="L73" s="4" t="s">
        <v>15</v>
      </c>
      <c r="M73" s="4" t="s">
        <v>16</v>
      </c>
      <c r="N73" s="7" t="s">
        <v>18</v>
      </c>
    </row>
    <row r="74" spans="1:14" ht="18.75" x14ac:dyDescent="0.25">
      <c r="A74" s="4" t="s">
        <v>22</v>
      </c>
      <c r="B74" s="4" t="s">
        <v>0</v>
      </c>
      <c r="C74" s="4">
        <v>11</v>
      </c>
      <c r="D74" s="4" t="s">
        <v>47</v>
      </c>
      <c r="E74" s="4">
        <v>4</v>
      </c>
      <c r="F74" s="4">
        <v>7</v>
      </c>
      <c r="G74" s="4">
        <v>5</v>
      </c>
      <c r="H74" s="4">
        <v>5</v>
      </c>
      <c r="I74" s="4"/>
      <c r="J74" s="4"/>
      <c r="K74" s="4">
        <f>((E74+F74)/2+G74+H74+I74+J74)/3</f>
        <v>5.166666666666667</v>
      </c>
      <c r="L74" s="4">
        <v>3</v>
      </c>
      <c r="M74" s="4">
        <f>L74*K74</f>
        <v>15.5</v>
      </c>
      <c r="N74" s="19">
        <f>M74+M75+M76</f>
        <v>33.333333333333336</v>
      </c>
    </row>
    <row r="75" spans="1:14" ht="18.75" x14ac:dyDescent="0.25">
      <c r="A75" s="4" t="s">
        <v>22</v>
      </c>
      <c r="B75" s="4" t="s">
        <v>1</v>
      </c>
      <c r="C75" s="4">
        <v>3</v>
      </c>
      <c r="D75" s="4" t="s">
        <v>134</v>
      </c>
      <c r="E75" s="4">
        <v>5</v>
      </c>
      <c r="F75" s="4">
        <v>7</v>
      </c>
      <c r="G75" s="4">
        <v>6</v>
      </c>
      <c r="H75" s="4">
        <v>6</v>
      </c>
      <c r="I75" s="4"/>
      <c r="J75" s="4"/>
      <c r="K75" s="4">
        <f>((E75+F75)/2+G75+H75+I75+J75)/3</f>
        <v>6</v>
      </c>
      <c r="L75" s="4">
        <v>2</v>
      </c>
      <c r="M75" s="4">
        <f t="shared" ref="M75:M76" si="14">L75*K75</f>
        <v>12</v>
      </c>
      <c r="N75" s="19"/>
    </row>
    <row r="76" spans="1:14" ht="18.75" x14ac:dyDescent="0.25">
      <c r="A76" s="4" t="s">
        <v>22</v>
      </c>
      <c r="B76" s="4" t="s">
        <v>2</v>
      </c>
      <c r="C76" s="4">
        <v>17</v>
      </c>
      <c r="D76" s="4" t="s">
        <v>135</v>
      </c>
      <c r="E76" s="4">
        <v>4</v>
      </c>
      <c r="F76" s="4">
        <v>7</v>
      </c>
      <c r="G76" s="4">
        <v>6</v>
      </c>
      <c r="H76" s="4">
        <v>6</v>
      </c>
      <c r="I76" s="4"/>
      <c r="J76" s="4"/>
      <c r="K76" s="4">
        <f>((E76+F76)/2+G76+H76+I76+J76)/3</f>
        <v>5.833333333333333</v>
      </c>
      <c r="L76" s="4">
        <v>1</v>
      </c>
      <c r="M76" s="4">
        <f t="shared" si="14"/>
        <v>5.833333333333333</v>
      </c>
      <c r="N76" s="19"/>
    </row>
    <row r="77" spans="1:14" ht="18.75" x14ac:dyDescent="0.3">
      <c r="A77" s="2" t="s">
        <v>5</v>
      </c>
      <c r="B77" s="2"/>
      <c r="C77" s="2"/>
      <c r="D77" s="2"/>
      <c r="E77" s="18" t="s">
        <v>11</v>
      </c>
      <c r="F77" s="18"/>
      <c r="G77" s="18"/>
      <c r="H77" s="18"/>
      <c r="I77" s="18"/>
      <c r="J77" s="18"/>
      <c r="K77" s="2"/>
      <c r="L77" s="2"/>
      <c r="M77" s="2"/>
    </row>
    <row r="78" spans="1:14" ht="18.75" x14ac:dyDescent="0.25">
      <c r="A78" s="4" t="s">
        <v>8</v>
      </c>
      <c r="B78" s="6" t="s">
        <v>7</v>
      </c>
      <c r="C78" s="4" t="s">
        <v>9</v>
      </c>
      <c r="D78" s="4" t="s">
        <v>10</v>
      </c>
      <c r="E78" s="4" t="s">
        <v>12</v>
      </c>
      <c r="F78" s="4" t="s">
        <v>13</v>
      </c>
      <c r="G78" s="4"/>
      <c r="H78" s="4"/>
      <c r="I78" s="4"/>
      <c r="J78" s="4"/>
      <c r="K78" s="6" t="s">
        <v>14</v>
      </c>
      <c r="L78" s="4" t="s">
        <v>15</v>
      </c>
      <c r="M78" s="4" t="s">
        <v>16</v>
      </c>
      <c r="N78" s="7" t="s">
        <v>18</v>
      </c>
    </row>
    <row r="79" spans="1:14" ht="18.75" x14ac:dyDescent="0.25">
      <c r="A79" s="4" t="s">
        <v>32</v>
      </c>
      <c r="B79" s="4" t="s">
        <v>0</v>
      </c>
      <c r="C79" s="4">
        <v>17</v>
      </c>
      <c r="D79" s="4" t="s">
        <v>136</v>
      </c>
      <c r="E79" s="4">
        <v>5</v>
      </c>
      <c r="F79" s="4">
        <v>8</v>
      </c>
      <c r="G79" s="4">
        <v>6</v>
      </c>
      <c r="H79" s="4">
        <v>6</v>
      </c>
      <c r="I79" s="4"/>
      <c r="J79" s="4"/>
      <c r="K79" s="4">
        <f>((E79+F79)/2+G79+H79+I79+J79)/3</f>
        <v>6.166666666666667</v>
      </c>
      <c r="L79" s="4">
        <v>3</v>
      </c>
      <c r="M79" s="4">
        <f>L79*K79</f>
        <v>18.5</v>
      </c>
      <c r="N79" s="19">
        <f>M79+M80+M81</f>
        <v>39.166666666666664</v>
      </c>
    </row>
    <row r="80" spans="1:14" ht="18.75" x14ac:dyDescent="0.25">
      <c r="A80" s="4" t="s">
        <v>32</v>
      </c>
      <c r="B80" s="4" t="s">
        <v>1</v>
      </c>
      <c r="C80" s="4">
        <v>11</v>
      </c>
      <c r="D80" s="4" t="s">
        <v>137</v>
      </c>
      <c r="E80" s="4">
        <v>6</v>
      </c>
      <c r="F80" s="4">
        <v>8</v>
      </c>
      <c r="G80" s="4">
        <v>7</v>
      </c>
      <c r="H80" s="4">
        <v>7</v>
      </c>
      <c r="I80" s="4"/>
      <c r="J80" s="4"/>
      <c r="K80" s="4">
        <f>((E80+F80)/2+G80+H80+I80+J80)/3</f>
        <v>7</v>
      </c>
      <c r="L80" s="4">
        <v>2</v>
      </c>
      <c r="M80" s="4">
        <f t="shared" ref="M80:M81" si="15">L80*K80</f>
        <v>14</v>
      </c>
      <c r="N80" s="19"/>
    </row>
    <row r="81" spans="1:14" ht="18.75" x14ac:dyDescent="0.25">
      <c r="A81" s="4" t="s">
        <v>32</v>
      </c>
      <c r="B81" s="4" t="s">
        <v>2</v>
      </c>
      <c r="C81" s="4">
        <v>3</v>
      </c>
      <c r="D81" s="4" t="s">
        <v>55</v>
      </c>
      <c r="E81" s="4">
        <v>5</v>
      </c>
      <c r="F81" s="4">
        <v>7</v>
      </c>
      <c r="G81" s="4">
        <v>7</v>
      </c>
      <c r="H81" s="4">
        <v>7</v>
      </c>
      <c r="I81" s="4"/>
      <c r="J81" s="4"/>
      <c r="K81" s="4">
        <f>((E81+F81)/2+G81+H81+I81+J81)/3</f>
        <v>6.666666666666667</v>
      </c>
      <c r="L81" s="4">
        <v>1</v>
      </c>
      <c r="M81" s="4">
        <f t="shared" si="15"/>
        <v>6.666666666666667</v>
      </c>
      <c r="N81" s="19"/>
    </row>
    <row r="82" spans="1:14" ht="18.75" x14ac:dyDescent="0.3">
      <c r="A82" s="2" t="s">
        <v>5</v>
      </c>
      <c r="B82" s="2">
        <v>2</v>
      </c>
      <c r="C82" s="2"/>
      <c r="D82" s="2"/>
      <c r="E82" s="18" t="s">
        <v>11</v>
      </c>
      <c r="F82" s="18"/>
      <c r="G82" s="18"/>
      <c r="H82" s="18"/>
      <c r="I82" s="18"/>
      <c r="J82" s="18"/>
      <c r="K82" s="2"/>
      <c r="L82" s="2"/>
      <c r="M82" s="2"/>
    </row>
    <row r="83" spans="1:14" ht="18.75" x14ac:dyDescent="0.25">
      <c r="A83" s="4" t="s">
        <v>8</v>
      </c>
      <c r="B83" s="6" t="s">
        <v>7</v>
      </c>
      <c r="C83" s="4" t="s">
        <v>9</v>
      </c>
      <c r="D83" s="4" t="s">
        <v>10</v>
      </c>
      <c r="E83" s="4" t="s">
        <v>12</v>
      </c>
      <c r="F83" s="4" t="s">
        <v>13</v>
      </c>
      <c r="G83" s="4"/>
      <c r="H83" s="4"/>
      <c r="I83" s="4"/>
      <c r="J83" s="4"/>
      <c r="K83" s="6" t="s">
        <v>14</v>
      </c>
      <c r="L83" s="4" t="s">
        <v>15</v>
      </c>
      <c r="M83" s="4" t="s">
        <v>16</v>
      </c>
      <c r="N83" s="7" t="s">
        <v>18</v>
      </c>
    </row>
    <row r="84" spans="1:14" ht="18.75" x14ac:dyDescent="0.25">
      <c r="A84" s="4" t="s">
        <v>138</v>
      </c>
      <c r="B84" s="4" t="s">
        <v>0</v>
      </c>
      <c r="C84" s="4">
        <v>3</v>
      </c>
      <c r="D84" s="4" t="s">
        <v>139</v>
      </c>
      <c r="E84" s="4">
        <v>4</v>
      </c>
      <c r="F84" s="4">
        <v>5</v>
      </c>
      <c r="G84" s="4">
        <v>4</v>
      </c>
      <c r="H84" s="4">
        <v>4</v>
      </c>
      <c r="I84" s="4"/>
      <c r="J84" s="4"/>
      <c r="K84" s="4">
        <f>((E84+F84)/2+G84+H84+I84+J84)/3</f>
        <v>4.166666666666667</v>
      </c>
      <c r="L84" s="4">
        <v>3</v>
      </c>
      <c r="M84" s="4">
        <f>L84*K84</f>
        <v>12.5</v>
      </c>
      <c r="N84" s="19">
        <f>M84+M85+M86</f>
        <v>29.000000000000004</v>
      </c>
    </row>
    <row r="85" spans="1:14" ht="18.75" x14ac:dyDescent="0.25">
      <c r="A85" s="4" t="s">
        <v>140</v>
      </c>
      <c r="B85" s="4" t="s">
        <v>1</v>
      </c>
      <c r="C85" s="4">
        <v>17</v>
      </c>
      <c r="D85" s="4" t="s">
        <v>141</v>
      </c>
      <c r="E85" s="4">
        <v>4</v>
      </c>
      <c r="F85" s="4">
        <v>6</v>
      </c>
      <c r="G85" s="4">
        <v>6</v>
      </c>
      <c r="H85" s="4">
        <v>6</v>
      </c>
      <c r="I85" s="4"/>
      <c r="J85" s="4"/>
      <c r="K85" s="4">
        <f>((E85+F85)/2+G85+H85+I85+J85)/3</f>
        <v>5.666666666666667</v>
      </c>
      <c r="L85" s="4">
        <v>2</v>
      </c>
      <c r="M85" s="4">
        <f t="shared" ref="M85:M86" si="16">L85*K85</f>
        <v>11.333333333333334</v>
      </c>
      <c r="N85" s="19"/>
    </row>
    <row r="86" spans="1:14" ht="18.75" x14ac:dyDescent="0.25">
      <c r="A86" s="4" t="s">
        <v>142</v>
      </c>
      <c r="B86" s="4" t="s">
        <v>2</v>
      </c>
      <c r="C86" s="4">
        <v>11</v>
      </c>
      <c r="D86" s="4" t="s">
        <v>143</v>
      </c>
      <c r="E86" s="4">
        <v>5</v>
      </c>
      <c r="F86" s="4">
        <v>6</v>
      </c>
      <c r="G86" s="4">
        <v>5</v>
      </c>
      <c r="H86" s="4">
        <v>5</v>
      </c>
      <c r="I86" s="4"/>
      <c r="J86" s="4"/>
      <c r="K86" s="4">
        <f>((E86+F86)/2+G86+H86+I86+J86)/3</f>
        <v>5.166666666666667</v>
      </c>
      <c r="L86" s="4">
        <v>1</v>
      </c>
      <c r="M86" s="4">
        <f t="shared" si="16"/>
        <v>5.166666666666667</v>
      </c>
      <c r="N86" s="19"/>
    </row>
    <row r="87" spans="1:14" ht="18.75" x14ac:dyDescent="0.3">
      <c r="A87" s="2" t="s">
        <v>4</v>
      </c>
      <c r="B87" s="2" t="s">
        <v>144</v>
      </c>
      <c r="C87" s="2"/>
      <c r="D87" s="2"/>
      <c r="E87" s="18" t="s">
        <v>11</v>
      </c>
      <c r="F87" s="18"/>
      <c r="G87" s="18"/>
      <c r="H87" s="18"/>
      <c r="I87" s="18"/>
      <c r="J87" s="18"/>
      <c r="K87" s="2"/>
      <c r="L87" s="2"/>
      <c r="M87" s="2"/>
    </row>
    <row r="88" spans="1:14" ht="18.75" x14ac:dyDescent="0.25">
      <c r="A88" s="4" t="s">
        <v>8</v>
      </c>
      <c r="B88" s="6" t="s">
        <v>7</v>
      </c>
      <c r="C88" s="4" t="s">
        <v>9</v>
      </c>
      <c r="D88" s="4" t="s">
        <v>10</v>
      </c>
      <c r="E88" s="4" t="s">
        <v>12</v>
      </c>
      <c r="F88" s="4" t="s">
        <v>13</v>
      </c>
      <c r="G88" s="4"/>
      <c r="H88" s="4"/>
      <c r="I88" s="4"/>
      <c r="J88" s="4"/>
      <c r="K88" s="6" t="s">
        <v>14</v>
      </c>
      <c r="L88" s="4" t="s">
        <v>15</v>
      </c>
      <c r="M88" s="4" t="s">
        <v>16</v>
      </c>
      <c r="N88" s="7" t="s">
        <v>18</v>
      </c>
    </row>
    <row r="89" spans="1:14" ht="18.75" x14ac:dyDescent="0.25">
      <c r="A89" s="4" t="s">
        <v>145</v>
      </c>
      <c r="B89" s="4" t="s">
        <v>0</v>
      </c>
      <c r="C89" s="4">
        <v>2</v>
      </c>
      <c r="D89" s="4" t="s">
        <v>146</v>
      </c>
      <c r="E89" s="4">
        <v>4</v>
      </c>
      <c r="F89" s="4">
        <v>6</v>
      </c>
      <c r="G89" s="4">
        <v>5</v>
      </c>
      <c r="H89" s="4">
        <v>6</v>
      </c>
      <c r="I89" s="4"/>
      <c r="J89" s="4"/>
      <c r="K89" s="4">
        <f>((E89+F89)/2+G89+H89+I89+J89)/3</f>
        <v>5.333333333333333</v>
      </c>
      <c r="L89" s="4">
        <v>3</v>
      </c>
      <c r="M89" s="4">
        <f>L89*K89</f>
        <v>16</v>
      </c>
      <c r="N89" s="19">
        <f>M89+M90+M91</f>
        <v>35</v>
      </c>
    </row>
    <row r="90" spans="1:14" ht="18.75" x14ac:dyDescent="0.25">
      <c r="A90" s="4" t="s">
        <v>145</v>
      </c>
      <c r="B90" s="4" t="s">
        <v>1</v>
      </c>
      <c r="C90" s="4">
        <v>17</v>
      </c>
      <c r="D90" s="4" t="s">
        <v>40</v>
      </c>
      <c r="E90" s="4">
        <v>6</v>
      </c>
      <c r="F90" s="4">
        <v>8</v>
      </c>
      <c r="G90" s="4">
        <v>7</v>
      </c>
      <c r="H90" s="4">
        <v>7</v>
      </c>
      <c r="I90" s="4"/>
      <c r="J90" s="4"/>
      <c r="K90" s="4">
        <f>((E90+F90)/2+G90+H90+I90+J90)/3</f>
        <v>7</v>
      </c>
      <c r="L90" s="4">
        <v>2</v>
      </c>
      <c r="M90" s="4">
        <f t="shared" ref="M90:M91" si="17">L90*K90</f>
        <v>14</v>
      </c>
      <c r="N90" s="19"/>
    </row>
    <row r="91" spans="1:14" ht="18.75" x14ac:dyDescent="0.25">
      <c r="A91" s="4" t="s">
        <v>145</v>
      </c>
      <c r="B91" s="4" t="s">
        <v>2</v>
      </c>
      <c r="C91" s="4">
        <v>3</v>
      </c>
      <c r="D91" s="4" t="s">
        <v>147</v>
      </c>
      <c r="E91" s="4">
        <v>4</v>
      </c>
      <c r="F91" s="4">
        <v>6</v>
      </c>
      <c r="G91" s="4">
        <v>5</v>
      </c>
      <c r="H91" s="4">
        <v>5</v>
      </c>
      <c r="I91" s="4"/>
      <c r="J91" s="4"/>
      <c r="K91" s="4">
        <f>((E91+F91)/2+G91+H91+I91+J91)/3</f>
        <v>5</v>
      </c>
      <c r="L91" s="4">
        <v>1</v>
      </c>
      <c r="M91" s="4">
        <f t="shared" si="17"/>
        <v>5</v>
      </c>
      <c r="N91" s="19"/>
    </row>
    <row r="92" spans="1:14" ht="18.75" x14ac:dyDescent="0.3">
      <c r="A92" s="2" t="s">
        <v>4</v>
      </c>
      <c r="B92" s="2"/>
      <c r="C92" s="2"/>
      <c r="D92" s="2"/>
      <c r="E92" s="18" t="s">
        <v>11</v>
      </c>
      <c r="F92" s="18"/>
      <c r="G92" s="18"/>
      <c r="H92" s="18"/>
      <c r="I92" s="18"/>
      <c r="J92" s="18"/>
      <c r="K92" s="2"/>
      <c r="L92" s="2"/>
      <c r="M92" s="2"/>
    </row>
    <row r="93" spans="1:14" ht="18.75" x14ac:dyDescent="0.25">
      <c r="A93" s="4" t="s">
        <v>8</v>
      </c>
      <c r="B93" s="6" t="s">
        <v>7</v>
      </c>
      <c r="C93" s="4" t="s">
        <v>9</v>
      </c>
      <c r="D93" s="4" t="s">
        <v>10</v>
      </c>
      <c r="E93" s="4" t="s">
        <v>12</v>
      </c>
      <c r="F93" s="4" t="s">
        <v>13</v>
      </c>
      <c r="G93" s="4"/>
      <c r="H93" s="4"/>
      <c r="I93" s="4"/>
      <c r="J93" s="4"/>
      <c r="K93" s="6" t="s">
        <v>14</v>
      </c>
      <c r="L93" s="4" t="s">
        <v>15</v>
      </c>
      <c r="M93" s="4" t="s">
        <v>16</v>
      </c>
      <c r="N93" s="7" t="s">
        <v>18</v>
      </c>
    </row>
    <row r="94" spans="1:14" ht="18.75" x14ac:dyDescent="0.25">
      <c r="A94" s="4" t="s">
        <v>96</v>
      </c>
      <c r="B94" s="4" t="s">
        <v>0</v>
      </c>
      <c r="C94" s="4">
        <v>3</v>
      </c>
      <c r="D94" s="4" t="s">
        <v>99</v>
      </c>
      <c r="E94" s="4">
        <v>3</v>
      </c>
      <c r="F94" s="4">
        <v>5</v>
      </c>
      <c r="G94" s="4">
        <v>4</v>
      </c>
      <c r="H94" s="4">
        <v>4</v>
      </c>
      <c r="I94" s="4"/>
      <c r="J94" s="4"/>
      <c r="K94" s="4">
        <f>((E94+F94)/2+G94+H94+I94+J94)/3</f>
        <v>4</v>
      </c>
      <c r="L94" s="4">
        <v>3</v>
      </c>
      <c r="M94" s="4">
        <f>L94*K94</f>
        <v>12</v>
      </c>
      <c r="N94" s="19">
        <f>M94+M95+M96</f>
        <v>27.666666666666664</v>
      </c>
    </row>
    <row r="95" spans="1:14" ht="18.75" x14ac:dyDescent="0.25">
      <c r="A95" s="4" t="s">
        <v>96</v>
      </c>
      <c r="B95" s="4" t="s">
        <v>1</v>
      </c>
      <c r="C95" s="4">
        <v>2</v>
      </c>
      <c r="D95" s="4" t="s">
        <v>97</v>
      </c>
      <c r="E95" s="4">
        <v>4</v>
      </c>
      <c r="F95" s="4">
        <v>6</v>
      </c>
      <c r="G95" s="4">
        <v>5</v>
      </c>
      <c r="H95" s="4">
        <v>6</v>
      </c>
      <c r="I95" s="4"/>
      <c r="J95" s="4"/>
      <c r="K95" s="4">
        <f>((E95+F95)/2+G95+H95+I95+J95)/3</f>
        <v>5.333333333333333</v>
      </c>
      <c r="L95" s="4">
        <v>2</v>
      </c>
      <c r="M95" s="4">
        <f t="shared" ref="M95:M96" si="18">L95*K95</f>
        <v>10.666666666666666</v>
      </c>
      <c r="N95" s="19"/>
    </row>
    <row r="96" spans="1:14" ht="18.75" x14ac:dyDescent="0.25">
      <c r="A96" s="4" t="s">
        <v>96</v>
      </c>
      <c r="B96" s="4" t="s">
        <v>2</v>
      </c>
      <c r="C96" s="4">
        <v>17</v>
      </c>
      <c r="D96" s="4" t="s">
        <v>97</v>
      </c>
      <c r="E96" s="4">
        <v>4</v>
      </c>
      <c r="F96" s="4">
        <v>6</v>
      </c>
      <c r="G96" s="4">
        <v>5</v>
      </c>
      <c r="H96" s="4">
        <v>5</v>
      </c>
      <c r="I96" s="4"/>
      <c r="J96" s="4"/>
      <c r="K96" s="4">
        <f>((E96+F96)/2+G96+H96+I96+J96)/3</f>
        <v>5</v>
      </c>
      <c r="L96" s="4">
        <v>1</v>
      </c>
      <c r="M96" s="4">
        <f t="shared" si="18"/>
        <v>5</v>
      </c>
      <c r="N96" s="19"/>
    </row>
    <row r="97" spans="1:14" ht="18.75" x14ac:dyDescent="0.3">
      <c r="A97" s="2" t="s">
        <v>4</v>
      </c>
      <c r="B97" s="2"/>
      <c r="C97" s="2"/>
      <c r="D97" s="2"/>
      <c r="E97" s="18" t="s">
        <v>11</v>
      </c>
      <c r="F97" s="18"/>
      <c r="G97" s="18"/>
      <c r="H97" s="18"/>
      <c r="I97" s="18"/>
      <c r="J97" s="18"/>
      <c r="K97" s="2"/>
      <c r="L97" s="2"/>
      <c r="M97" s="2"/>
    </row>
    <row r="98" spans="1:14" ht="18.75" x14ac:dyDescent="0.25">
      <c r="A98" s="4" t="s">
        <v>8</v>
      </c>
      <c r="B98" s="6" t="s">
        <v>7</v>
      </c>
      <c r="C98" s="4" t="s">
        <v>9</v>
      </c>
      <c r="D98" s="4" t="s">
        <v>10</v>
      </c>
      <c r="E98" s="4" t="s">
        <v>12</v>
      </c>
      <c r="F98" s="4" t="s">
        <v>13</v>
      </c>
      <c r="G98" s="4"/>
      <c r="H98" s="4"/>
      <c r="I98" s="4"/>
      <c r="J98" s="4"/>
      <c r="K98" s="6" t="s">
        <v>14</v>
      </c>
      <c r="L98" s="4" t="s">
        <v>15</v>
      </c>
      <c r="M98" s="4" t="s">
        <v>16</v>
      </c>
      <c r="N98" s="7" t="s">
        <v>18</v>
      </c>
    </row>
    <row r="99" spans="1:14" ht="18.75" x14ac:dyDescent="0.25">
      <c r="A99" s="4" t="s">
        <v>29</v>
      </c>
      <c r="B99" s="4" t="s">
        <v>0</v>
      </c>
      <c r="C99" s="4">
        <v>17</v>
      </c>
      <c r="D99" s="4" t="s">
        <v>148</v>
      </c>
      <c r="E99" s="4">
        <v>6</v>
      </c>
      <c r="F99" s="4">
        <v>8</v>
      </c>
      <c r="G99" s="4">
        <v>7</v>
      </c>
      <c r="H99" s="4">
        <v>7</v>
      </c>
      <c r="I99" s="4"/>
      <c r="J99" s="4"/>
      <c r="K99" s="4">
        <f>((E99+F99)/2+G99+H99+I99+J99)/3</f>
        <v>7</v>
      </c>
      <c r="L99" s="4">
        <v>3</v>
      </c>
      <c r="M99" s="4">
        <f>L99*K99</f>
        <v>21</v>
      </c>
      <c r="N99" s="19">
        <f>M99+M100+M101</f>
        <v>39.5</v>
      </c>
    </row>
    <row r="100" spans="1:14" ht="18.75" x14ac:dyDescent="0.25">
      <c r="A100" s="4" t="s">
        <v>29</v>
      </c>
      <c r="B100" s="4" t="s">
        <v>1</v>
      </c>
      <c r="C100" s="4">
        <v>3</v>
      </c>
      <c r="D100" s="4" t="s">
        <v>149</v>
      </c>
      <c r="E100" s="4">
        <v>4</v>
      </c>
      <c r="F100" s="4">
        <v>7</v>
      </c>
      <c r="G100" s="4">
        <v>6</v>
      </c>
      <c r="H100" s="4">
        <v>6</v>
      </c>
      <c r="I100" s="4"/>
      <c r="J100" s="4"/>
      <c r="K100" s="4">
        <f>((E100+F100)/2+G100+H100+I100+J100)/3</f>
        <v>5.833333333333333</v>
      </c>
      <c r="L100" s="4">
        <v>2</v>
      </c>
      <c r="M100" s="4">
        <f t="shared" ref="M100:M101" si="19">L100*K100</f>
        <v>11.666666666666666</v>
      </c>
      <c r="N100" s="19"/>
    </row>
    <row r="101" spans="1:14" ht="18.75" x14ac:dyDescent="0.25">
      <c r="A101" s="4" t="s">
        <v>29</v>
      </c>
      <c r="B101" s="4" t="s">
        <v>2</v>
      </c>
      <c r="C101" s="4">
        <v>2</v>
      </c>
      <c r="D101" s="4" t="s">
        <v>150</v>
      </c>
      <c r="E101" s="4">
        <v>6</v>
      </c>
      <c r="F101" s="4">
        <v>7</v>
      </c>
      <c r="G101" s="4">
        <v>7</v>
      </c>
      <c r="H101" s="4">
        <v>7</v>
      </c>
      <c r="I101" s="4"/>
      <c r="J101" s="4"/>
      <c r="K101" s="4">
        <f>((E101+F101)/2+G101+H101+I101+J101)/3</f>
        <v>6.833333333333333</v>
      </c>
      <c r="L101" s="4">
        <v>1</v>
      </c>
      <c r="M101" s="4">
        <f t="shared" si="19"/>
        <v>6.833333333333333</v>
      </c>
      <c r="N101" s="19"/>
    </row>
  </sheetData>
  <mergeCells count="41">
    <mergeCell ref="E27:J27"/>
    <mergeCell ref="A1:M1"/>
    <mergeCell ref="E2:J2"/>
    <mergeCell ref="N4:N6"/>
    <mergeCell ref="E7:J7"/>
    <mergeCell ref="N9:N11"/>
    <mergeCell ref="E12:J12"/>
    <mergeCell ref="N14:N16"/>
    <mergeCell ref="E17:J17"/>
    <mergeCell ref="N19:N21"/>
    <mergeCell ref="E22:J22"/>
    <mergeCell ref="N24:N26"/>
    <mergeCell ref="E57:J57"/>
    <mergeCell ref="N29:N31"/>
    <mergeCell ref="E32:J32"/>
    <mergeCell ref="N34:N36"/>
    <mergeCell ref="E37:J37"/>
    <mergeCell ref="N39:N41"/>
    <mergeCell ref="E42:J42"/>
    <mergeCell ref="N44:N46"/>
    <mergeCell ref="E47:J47"/>
    <mergeCell ref="N49:N51"/>
    <mergeCell ref="E52:J52"/>
    <mergeCell ref="N54:N56"/>
    <mergeCell ref="E87:J87"/>
    <mergeCell ref="N59:N61"/>
    <mergeCell ref="E62:J62"/>
    <mergeCell ref="N64:N66"/>
    <mergeCell ref="E67:J67"/>
    <mergeCell ref="N69:N71"/>
    <mergeCell ref="E72:J72"/>
    <mergeCell ref="N74:N76"/>
    <mergeCell ref="E77:J77"/>
    <mergeCell ref="N79:N81"/>
    <mergeCell ref="E82:J82"/>
    <mergeCell ref="N84:N86"/>
    <mergeCell ref="N89:N91"/>
    <mergeCell ref="E92:J92"/>
    <mergeCell ref="N94:N96"/>
    <mergeCell ref="E97:J97"/>
    <mergeCell ref="N99:N101"/>
  </mergeCells>
  <pageMargins left="0.70866141732283472" right="0.70866141732283472" top="0.74803149606299213" bottom="0.74803149606299213" header="0.31496062992125984" footer="0.31496062992125984"/>
  <pageSetup paperSize="9" scale="62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topLeftCell="E1" zoomScale="80" zoomScaleNormal="80" workbookViewId="0">
      <selection activeCell="P3" sqref="P3:AB5"/>
    </sheetView>
  </sheetViews>
  <sheetFormatPr defaultRowHeight="15" x14ac:dyDescent="0.25"/>
  <cols>
    <col min="1" max="1" width="15.140625" customWidth="1"/>
    <col min="2" max="2" width="5.42578125" customWidth="1"/>
    <col min="3" max="3" width="8.140625" customWidth="1"/>
    <col min="4" max="4" width="19.85546875" customWidth="1"/>
    <col min="5" max="10" width="5.85546875" customWidth="1"/>
    <col min="11" max="11" width="8" customWidth="1"/>
    <col min="12" max="13" width="7.85546875" customWidth="1"/>
    <col min="15" max="15" width="3.5703125" customWidth="1"/>
  </cols>
  <sheetData>
    <row r="1" spans="1:14" ht="18.75" x14ac:dyDescent="0.3">
      <c r="A1" s="20" t="s">
        <v>166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8.75" x14ac:dyDescent="0.3">
      <c r="A2" s="2" t="s">
        <v>3</v>
      </c>
      <c r="B2" s="2"/>
      <c r="C2" s="2" t="s">
        <v>161</v>
      </c>
      <c r="D2" s="2"/>
      <c r="E2" s="18" t="s">
        <v>11</v>
      </c>
      <c r="F2" s="18"/>
      <c r="G2" s="18"/>
      <c r="H2" s="18"/>
      <c r="I2" s="18"/>
      <c r="J2" s="18"/>
      <c r="K2" s="2"/>
      <c r="L2" s="2"/>
      <c r="M2" s="2"/>
    </row>
    <row r="3" spans="1:14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6" t="s">
        <v>14</v>
      </c>
      <c r="L3" s="4" t="s">
        <v>15</v>
      </c>
      <c r="M3" s="4" t="s">
        <v>16</v>
      </c>
      <c r="N3" s="7" t="s">
        <v>18</v>
      </c>
    </row>
    <row r="4" spans="1:14" ht="18.75" x14ac:dyDescent="0.25">
      <c r="A4" s="4" t="s">
        <v>27</v>
      </c>
      <c r="B4" s="4" t="s">
        <v>0</v>
      </c>
      <c r="C4" s="4">
        <v>17</v>
      </c>
      <c r="D4" s="4" t="s">
        <v>162</v>
      </c>
      <c r="E4" s="4">
        <v>6</v>
      </c>
      <c r="F4" s="4">
        <v>9</v>
      </c>
      <c r="G4" s="4">
        <v>8</v>
      </c>
      <c r="H4" s="4">
        <v>8</v>
      </c>
      <c r="I4" s="4"/>
      <c r="J4" s="4"/>
      <c r="K4" s="4">
        <f>((E4+F4)/2+G4+H4+I4+J4)/3</f>
        <v>7.833333333333333</v>
      </c>
      <c r="L4" s="4">
        <v>3</v>
      </c>
      <c r="M4" s="4">
        <f>L4*K4</f>
        <v>23.5</v>
      </c>
      <c r="N4" s="19">
        <f>M4+M5+M6</f>
        <v>46</v>
      </c>
    </row>
    <row r="5" spans="1:14" ht="18.75" x14ac:dyDescent="0.25">
      <c r="A5" s="4" t="s">
        <v>27</v>
      </c>
      <c r="B5" s="4" t="s">
        <v>1</v>
      </c>
      <c r="C5" s="4">
        <v>2</v>
      </c>
      <c r="D5" s="4" t="s">
        <v>163</v>
      </c>
      <c r="E5" s="4">
        <v>7</v>
      </c>
      <c r="F5" s="4">
        <v>8</v>
      </c>
      <c r="G5" s="4">
        <v>7</v>
      </c>
      <c r="H5" s="4">
        <v>7</v>
      </c>
      <c r="I5" s="4"/>
      <c r="J5" s="4"/>
      <c r="K5" s="4">
        <f>((E5+F5)/2+G5+H5+I5+J5)/3</f>
        <v>7.166666666666667</v>
      </c>
      <c r="L5" s="4">
        <v>2</v>
      </c>
      <c r="M5" s="4">
        <f t="shared" ref="M5:M6" si="0">L5*K5</f>
        <v>14.333333333333334</v>
      </c>
      <c r="N5" s="19"/>
    </row>
    <row r="6" spans="1:14" ht="18.75" x14ac:dyDescent="0.25">
      <c r="A6" s="4" t="s">
        <v>27</v>
      </c>
      <c r="B6" s="4" t="s">
        <v>2</v>
      </c>
      <c r="C6" s="4">
        <v>5</v>
      </c>
      <c r="D6" s="4" t="s">
        <v>163</v>
      </c>
      <c r="E6" s="4">
        <v>8</v>
      </c>
      <c r="F6" s="4">
        <v>9</v>
      </c>
      <c r="G6" s="4">
        <v>8</v>
      </c>
      <c r="H6" s="4">
        <v>8</v>
      </c>
      <c r="I6" s="4"/>
      <c r="J6" s="4"/>
      <c r="K6" s="4">
        <f>((E6+F6)/2+G6+H6+I6+J6)/3</f>
        <v>8.1666666666666661</v>
      </c>
      <c r="L6" s="4">
        <v>1</v>
      </c>
      <c r="M6" s="4">
        <f t="shared" si="0"/>
        <v>8.1666666666666661</v>
      </c>
      <c r="N6" s="19"/>
    </row>
    <row r="7" spans="1:14" ht="18.75" x14ac:dyDescent="0.3">
      <c r="A7" s="2" t="s">
        <v>3</v>
      </c>
      <c r="B7" s="2"/>
      <c r="C7" s="2"/>
      <c r="D7" s="2"/>
      <c r="E7" s="18" t="s">
        <v>11</v>
      </c>
      <c r="F7" s="18"/>
      <c r="G7" s="18"/>
      <c r="H7" s="18"/>
      <c r="I7" s="18"/>
      <c r="J7" s="18"/>
      <c r="K7" s="2"/>
      <c r="L7" s="2"/>
      <c r="M7" s="2"/>
    </row>
    <row r="8" spans="1:14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6" t="s">
        <v>14</v>
      </c>
      <c r="L8" s="4" t="s">
        <v>15</v>
      </c>
      <c r="M8" s="4" t="s">
        <v>16</v>
      </c>
      <c r="N8" s="7" t="s">
        <v>18</v>
      </c>
    </row>
    <row r="9" spans="1:14" ht="18.75" x14ac:dyDescent="0.25">
      <c r="A9" s="4" t="s">
        <v>23</v>
      </c>
      <c r="B9" s="4" t="s">
        <v>0</v>
      </c>
      <c r="C9" s="4">
        <v>14</v>
      </c>
      <c r="D9" s="4" t="s">
        <v>164</v>
      </c>
      <c r="E9" s="4">
        <v>7</v>
      </c>
      <c r="F9" s="4">
        <v>8</v>
      </c>
      <c r="G9" s="4">
        <v>7</v>
      </c>
      <c r="H9" s="4">
        <v>8</v>
      </c>
      <c r="I9" s="4"/>
      <c r="J9" s="4"/>
      <c r="K9" s="4">
        <f>((E9+F9)/2+G9+H9+I9+J9)/3</f>
        <v>7.5</v>
      </c>
      <c r="L9" s="4">
        <v>3</v>
      </c>
      <c r="M9" s="4">
        <f>L9*K9</f>
        <v>22.5</v>
      </c>
      <c r="N9" s="19">
        <f>M9+M10+M11</f>
        <v>39.166666666666664</v>
      </c>
    </row>
    <row r="10" spans="1:14" ht="18.75" x14ac:dyDescent="0.25">
      <c r="A10" s="4" t="s">
        <v>23</v>
      </c>
      <c r="B10" s="4" t="s">
        <v>1</v>
      </c>
      <c r="C10" s="4">
        <v>17</v>
      </c>
      <c r="D10" s="4" t="s">
        <v>51</v>
      </c>
      <c r="E10" s="4">
        <v>5</v>
      </c>
      <c r="F10" s="4">
        <v>7</v>
      </c>
      <c r="G10" s="4">
        <v>5</v>
      </c>
      <c r="H10" s="4">
        <v>5</v>
      </c>
      <c r="I10" s="4"/>
      <c r="J10" s="4"/>
      <c r="K10" s="4">
        <f>((E10+F10)/2+G10+H10+I10+J10)/3</f>
        <v>5.333333333333333</v>
      </c>
      <c r="L10" s="4">
        <v>2</v>
      </c>
      <c r="M10" s="4">
        <f t="shared" ref="M10:M11" si="1">L10*K10</f>
        <v>10.666666666666666</v>
      </c>
      <c r="N10" s="19"/>
    </row>
    <row r="11" spans="1:14" ht="18.75" x14ac:dyDescent="0.25">
      <c r="A11" s="4" t="s">
        <v>23</v>
      </c>
      <c r="B11" s="4" t="s">
        <v>2</v>
      </c>
      <c r="C11" s="4">
        <v>2</v>
      </c>
      <c r="D11" s="4" t="s">
        <v>126</v>
      </c>
      <c r="E11" s="4">
        <v>5</v>
      </c>
      <c r="F11" s="4">
        <v>7</v>
      </c>
      <c r="G11" s="4">
        <v>5</v>
      </c>
      <c r="H11" s="4">
        <v>7</v>
      </c>
      <c r="I11" s="4"/>
      <c r="J11" s="4"/>
      <c r="K11" s="4">
        <f>((E11+F11)/2+G11+H11+I11+J11)/3</f>
        <v>6</v>
      </c>
      <c r="L11" s="4">
        <v>1</v>
      </c>
      <c r="M11" s="4">
        <f t="shared" si="1"/>
        <v>6</v>
      </c>
      <c r="N11" s="19"/>
    </row>
    <row r="12" spans="1:14" ht="18.75" x14ac:dyDescent="0.3">
      <c r="A12" s="2" t="s">
        <v>3</v>
      </c>
      <c r="B12" s="2"/>
      <c r="C12" s="2"/>
      <c r="D12" s="2"/>
      <c r="E12" s="18" t="s">
        <v>11</v>
      </c>
      <c r="F12" s="18"/>
      <c r="G12" s="18"/>
      <c r="H12" s="18"/>
      <c r="I12" s="18"/>
      <c r="J12" s="18"/>
      <c r="K12" s="2"/>
      <c r="L12" s="2"/>
      <c r="M12" s="2"/>
    </row>
    <row r="13" spans="1:14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6" t="s">
        <v>14</v>
      </c>
      <c r="L13" s="4" t="s">
        <v>15</v>
      </c>
      <c r="M13" s="4" t="s">
        <v>16</v>
      </c>
      <c r="N13" s="7" t="s">
        <v>18</v>
      </c>
    </row>
    <row r="14" spans="1:14" ht="18.75" x14ac:dyDescent="0.25">
      <c r="A14" s="4" t="s">
        <v>42</v>
      </c>
      <c r="B14" s="4" t="s">
        <v>0</v>
      </c>
      <c r="C14" s="4">
        <v>5</v>
      </c>
      <c r="D14" s="4" t="s">
        <v>43</v>
      </c>
      <c r="E14" s="4">
        <v>2</v>
      </c>
      <c r="F14" s="4">
        <v>3</v>
      </c>
      <c r="G14" s="4">
        <v>2</v>
      </c>
      <c r="H14" s="4">
        <v>3</v>
      </c>
      <c r="I14" s="4"/>
      <c r="J14" s="4"/>
      <c r="K14" s="4">
        <f>((E14+F14)/2+G14+H14+I14+J14)/3</f>
        <v>2.5</v>
      </c>
      <c r="L14" s="4">
        <v>3</v>
      </c>
      <c r="M14" s="4">
        <f>L14*K14</f>
        <v>7.5</v>
      </c>
      <c r="N14" s="19">
        <f>M14+M15+M16</f>
        <v>23.500000000000004</v>
      </c>
    </row>
    <row r="15" spans="1:14" ht="18.75" x14ac:dyDescent="0.25">
      <c r="A15" s="4" t="s">
        <v>42</v>
      </c>
      <c r="B15" s="4" t="s">
        <v>1</v>
      </c>
      <c r="C15" s="4">
        <v>14</v>
      </c>
      <c r="D15" s="4" t="s">
        <v>165</v>
      </c>
      <c r="E15" s="4">
        <v>4</v>
      </c>
      <c r="F15" s="4">
        <v>6</v>
      </c>
      <c r="G15" s="4">
        <v>5</v>
      </c>
      <c r="H15" s="4">
        <v>4</v>
      </c>
      <c r="I15" s="4"/>
      <c r="J15" s="4"/>
      <c r="K15" s="4">
        <f>((E15+F15)/2+G15+H15+I15+J15)/3</f>
        <v>4.666666666666667</v>
      </c>
      <c r="L15" s="4">
        <v>2</v>
      </c>
      <c r="M15" s="4">
        <f t="shared" ref="M15:M16" si="2">L15*K15</f>
        <v>9.3333333333333339</v>
      </c>
      <c r="N15" s="19"/>
    </row>
    <row r="16" spans="1:14" ht="18.75" x14ac:dyDescent="0.25">
      <c r="A16" s="4" t="s">
        <v>42</v>
      </c>
      <c r="B16" s="4" t="s">
        <v>2</v>
      </c>
      <c r="C16" s="4">
        <v>17</v>
      </c>
      <c r="D16" s="4" t="s">
        <v>44</v>
      </c>
      <c r="E16" s="4">
        <v>4</v>
      </c>
      <c r="F16" s="4">
        <v>8</v>
      </c>
      <c r="G16" s="4">
        <v>7</v>
      </c>
      <c r="H16" s="4">
        <v>7</v>
      </c>
      <c r="I16" s="4"/>
      <c r="J16" s="4"/>
      <c r="K16" s="4">
        <f>((E16+F16)/2+G16+H16+I16+J16)/3</f>
        <v>6.666666666666667</v>
      </c>
      <c r="L16" s="4">
        <v>1</v>
      </c>
      <c r="M16" s="4">
        <f t="shared" si="2"/>
        <v>6.666666666666667</v>
      </c>
      <c r="N16" s="19"/>
    </row>
    <row r="17" spans="1:14" ht="18.75" x14ac:dyDescent="0.3">
      <c r="A17" s="2" t="s">
        <v>3</v>
      </c>
      <c r="B17" s="2"/>
      <c r="C17" s="2"/>
      <c r="D17" s="2"/>
      <c r="E17" s="18" t="s">
        <v>11</v>
      </c>
      <c r="F17" s="18"/>
      <c r="G17" s="18"/>
      <c r="H17" s="18"/>
      <c r="I17" s="18"/>
      <c r="J17" s="18"/>
      <c r="K17" s="2"/>
      <c r="L17" s="2"/>
      <c r="M17" s="2"/>
    </row>
    <row r="18" spans="1:14" ht="18.75" x14ac:dyDescent="0.25">
      <c r="A18" s="4" t="s">
        <v>8</v>
      </c>
      <c r="B18" s="6" t="s">
        <v>7</v>
      </c>
      <c r="C18" s="4" t="s">
        <v>9</v>
      </c>
      <c r="D18" s="4" t="s">
        <v>10</v>
      </c>
      <c r="E18" s="4" t="s">
        <v>12</v>
      </c>
      <c r="F18" s="4" t="s">
        <v>13</v>
      </c>
      <c r="G18" s="4"/>
      <c r="H18" s="4"/>
      <c r="I18" s="4"/>
      <c r="J18" s="4"/>
      <c r="K18" s="6" t="s">
        <v>14</v>
      </c>
      <c r="L18" s="4" t="s">
        <v>15</v>
      </c>
      <c r="M18" s="4" t="s">
        <v>16</v>
      </c>
      <c r="N18" s="7" t="s">
        <v>18</v>
      </c>
    </row>
    <row r="19" spans="1:14" ht="18.75" x14ac:dyDescent="0.25">
      <c r="A19" s="4" t="s">
        <v>34</v>
      </c>
      <c r="B19" s="4" t="s">
        <v>0</v>
      </c>
      <c r="C19" s="4">
        <v>2</v>
      </c>
      <c r="D19" s="4" t="s">
        <v>63</v>
      </c>
      <c r="E19" s="4">
        <v>5</v>
      </c>
      <c r="F19" s="4">
        <v>8</v>
      </c>
      <c r="G19" s="4">
        <v>7</v>
      </c>
      <c r="H19" s="4">
        <v>6</v>
      </c>
      <c r="I19" s="4"/>
      <c r="J19" s="4"/>
      <c r="K19" s="4">
        <f>((E19+F19)/2+G19+H19+I19+J19)/3</f>
        <v>6.5</v>
      </c>
      <c r="L19" s="4">
        <v>3</v>
      </c>
      <c r="M19" s="4">
        <f>L19*K19</f>
        <v>19.5</v>
      </c>
      <c r="N19" s="19">
        <f>M19+M20+M21</f>
        <v>41.5</v>
      </c>
    </row>
    <row r="20" spans="1:14" ht="18.75" x14ac:dyDescent="0.25">
      <c r="A20" s="4" t="s">
        <v>34</v>
      </c>
      <c r="B20" s="4" t="s">
        <v>1</v>
      </c>
      <c r="C20" s="4">
        <v>5</v>
      </c>
      <c r="D20" s="4" t="s">
        <v>62</v>
      </c>
      <c r="E20" s="4">
        <v>5</v>
      </c>
      <c r="F20" s="4">
        <v>8</v>
      </c>
      <c r="G20" s="4">
        <v>8</v>
      </c>
      <c r="H20" s="4">
        <v>7</v>
      </c>
      <c r="I20" s="4"/>
      <c r="J20" s="4"/>
      <c r="K20" s="4">
        <f>((E20+F20)/2+G20+H20+I20+J20)/3</f>
        <v>7.166666666666667</v>
      </c>
      <c r="L20" s="4">
        <v>2</v>
      </c>
      <c r="M20" s="4">
        <f t="shared" ref="M20:M21" si="3">L20*K20</f>
        <v>14.333333333333334</v>
      </c>
      <c r="N20" s="19"/>
    </row>
    <row r="21" spans="1:14" ht="18.75" x14ac:dyDescent="0.25">
      <c r="A21" s="4" t="s">
        <v>34</v>
      </c>
      <c r="B21" s="4" t="s">
        <v>2</v>
      </c>
      <c r="C21" s="4">
        <v>14</v>
      </c>
      <c r="D21" s="4" t="s">
        <v>61</v>
      </c>
      <c r="E21" s="4">
        <v>7</v>
      </c>
      <c r="F21" s="4">
        <v>9</v>
      </c>
      <c r="G21" s="4">
        <v>8</v>
      </c>
      <c r="H21" s="4">
        <v>7</v>
      </c>
      <c r="I21" s="4"/>
      <c r="J21" s="4"/>
      <c r="K21" s="4">
        <f>((E21+F21)/2+G21+H21+I21+J21)/3</f>
        <v>7.666666666666667</v>
      </c>
      <c r="L21" s="4">
        <v>1</v>
      </c>
      <c r="M21" s="4">
        <f t="shared" si="3"/>
        <v>7.666666666666667</v>
      </c>
      <c r="N21" s="19"/>
    </row>
    <row r="22" spans="1:14" ht="18.75" x14ac:dyDescent="0.3">
      <c r="A22" s="2" t="s">
        <v>50</v>
      </c>
      <c r="B22" s="2"/>
      <c r="C22" s="2">
        <v>5</v>
      </c>
      <c r="D22" s="2"/>
      <c r="E22" s="18" t="s">
        <v>11</v>
      </c>
      <c r="F22" s="18"/>
      <c r="G22" s="18"/>
      <c r="H22" s="18"/>
      <c r="I22" s="18"/>
      <c r="J22" s="18"/>
      <c r="K22" s="2"/>
      <c r="L22" s="2"/>
      <c r="M22" s="2"/>
    </row>
    <row r="23" spans="1:14" ht="18.75" x14ac:dyDescent="0.25">
      <c r="A23" s="4" t="s">
        <v>8</v>
      </c>
      <c r="B23" s="6" t="s">
        <v>7</v>
      </c>
      <c r="C23" s="4" t="s">
        <v>9</v>
      </c>
      <c r="D23" s="4" t="s">
        <v>10</v>
      </c>
      <c r="E23" s="4" t="s">
        <v>12</v>
      </c>
      <c r="F23" s="4" t="s">
        <v>13</v>
      </c>
      <c r="G23" s="4"/>
      <c r="H23" s="4"/>
      <c r="I23" s="4"/>
      <c r="J23" s="4"/>
      <c r="K23" s="6" t="s">
        <v>14</v>
      </c>
      <c r="L23" s="4" t="s">
        <v>15</v>
      </c>
      <c r="M23" s="4" t="s">
        <v>16</v>
      </c>
      <c r="N23" s="7" t="s">
        <v>18</v>
      </c>
    </row>
    <row r="24" spans="1:14" ht="18.75" x14ac:dyDescent="0.25">
      <c r="A24" s="4" t="s">
        <v>168</v>
      </c>
      <c r="B24" s="4" t="s">
        <v>0</v>
      </c>
      <c r="C24" s="4">
        <v>3</v>
      </c>
      <c r="D24" s="4" t="s">
        <v>76</v>
      </c>
      <c r="E24" s="4">
        <v>2</v>
      </c>
      <c r="F24" s="4">
        <v>4</v>
      </c>
      <c r="G24" s="4">
        <v>4</v>
      </c>
      <c r="H24" s="4">
        <v>4</v>
      </c>
      <c r="I24" s="4"/>
      <c r="J24" s="4"/>
      <c r="K24" s="4">
        <f>((E24+F24)/2+G24+H24+I24+J24)/3</f>
        <v>3.6666666666666665</v>
      </c>
      <c r="L24" s="4">
        <v>3</v>
      </c>
      <c r="M24" s="4">
        <f>L24*K24</f>
        <v>11</v>
      </c>
      <c r="N24" s="19">
        <f>M24+M25+M26</f>
        <v>25.000000000000004</v>
      </c>
    </row>
    <row r="25" spans="1:14" ht="18.75" x14ac:dyDescent="0.25">
      <c r="A25" s="4" t="s">
        <v>168</v>
      </c>
      <c r="B25" s="4" t="s">
        <v>1</v>
      </c>
      <c r="C25" s="4">
        <v>17</v>
      </c>
      <c r="D25" s="4" t="s">
        <v>169</v>
      </c>
      <c r="E25" s="4">
        <v>4</v>
      </c>
      <c r="F25" s="4">
        <v>6</v>
      </c>
      <c r="G25" s="4">
        <v>5</v>
      </c>
      <c r="H25" s="4">
        <v>4</v>
      </c>
      <c r="I25" s="4"/>
      <c r="J25" s="4"/>
      <c r="K25" s="4">
        <f>((E25+F25)/2+G25+H25+I25+J25)/3</f>
        <v>4.666666666666667</v>
      </c>
      <c r="L25" s="4">
        <v>2</v>
      </c>
      <c r="M25" s="4">
        <f t="shared" ref="M25:M26" si="4">L25*K25</f>
        <v>9.3333333333333339</v>
      </c>
      <c r="N25" s="19"/>
    </row>
    <row r="26" spans="1:14" ht="18.75" x14ac:dyDescent="0.25">
      <c r="A26" s="4" t="s">
        <v>168</v>
      </c>
      <c r="B26" s="4" t="s">
        <v>2</v>
      </c>
      <c r="C26" s="4">
        <v>6</v>
      </c>
      <c r="D26" s="4" t="s">
        <v>76</v>
      </c>
      <c r="E26" s="4">
        <v>4</v>
      </c>
      <c r="F26" s="4">
        <v>6</v>
      </c>
      <c r="G26" s="4">
        <v>4</v>
      </c>
      <c r="H26" s="4">
        <v>5</v>
      </c>
      <c r="I26" s="4"/>
      <c r="J26" s="4"/>
      <c r="K26" s="4">
        <f>((E26+F26)/2+G26+H26+I26+J26)/3</f>
        <v>4.666666666666667</v>
      </c>
      <c r="L26" s="4">
        <v>1</v>
      </c>
      <c r="M26" s="4">
        <f t="shared" si="4"/>
        <v>4.666666666666667</v>
      </c>
      <c r="N26" s="19"/>
    </row>
    <row r="27" spans="1:14" ht="18.75" x14ac:dyDescent="0.3">
      <c r="A27" s="2" t="s">
        <v>50</v>
      </c>
      <c r="B27" s="2"/>
      <c r="C27" s="2"/>
      <c r="D27" s="2"/>
      <c r="E27" s="18" t="s">
        <v>11</v>
      </c>
      <c r="F27" s="18"/>
      <c r="G27" s="18"/>
      <c r="H27" s="18"/>
      <c r="I27" s="18"/>
      <c r="J27" s="18"/>
      <c r="K27" s="2"/>
      <c r="L27" s="2"/>
      <c r="M27" s="2"/>
    </row>
    <row r="28" spans="1:14" ht="18.75" x14ac:dyDescent="0.25">
      <c r="A28" s="4" t="s">
        <v>8</v>
      </c>
      <c r="B28" s="6" t="s">
        <v>7</v>
      </c>
      <c r="C28" s="4" t="s">
        <v>9</v>
      </c>
      <c r="D28" s="4" t="s">
        <v>10</v>
      </c>
      <c r="E28" s="4" t="s">
        <v>12</v>
      </c>
      <c r="F28" s="4" t="s">
        <v>13</v>
      </c>
      <c r="G28" s="4"/>
      <c r="H28" s="4"/>
      <c r="I28" s="4"/>
      <c r="J28" s="4"/>
      <c r="K28" s="6" t="s">
        <v>14</v>
      </c>
      <c r="L28" s="4" t="s">
        <v>15</v>
      </c>
      <c r="M28" s="4" t="s">
        <v>16</v>
      </c>
      <c r="N28" s="7" t="s">
        <v>18</v>
      </c>
    </row>
    <row r="29" spans="1:14" ht="18.75" x14ac:dyDescent="0.25">
      <c r="A29" s="4" t="s">
        <v>66</v>
      </c>
      <c r="B29" s="4" t="s">
        <v>0</v>
      </c>
      <c r="C29" s="4">
        <v>13</v>
      </c>
      <c r="D29" s="4" t="s">
        <v>170</v>
      </c>
      <c r="E29" s="4">
        <v>4</v>
      </c>
      <c r="F29" s="4">
        <v>6</v>
      </c>
      <c r="G29" s="4">
        <v>5</v>
      </c>
      <c r="H29" s="4">
        <v>5</v>
      </c>
      <c r="I29" s="4"/>
      <c r="J29" s="4"/>
      <c r="K29" s="4">
        <f>((E29+F29)/2+G29+H29+I29+J29)/3</f>
        <v>5</v>
      </c>
      <c r="L29" s="4">
        <v>3</v>
      </c>
      <c r="M29" s="4">
        <f>L29*K29</f>
        <v>15</v>
      </c>
      <c r="N29" s="19">
        <f>M29+M30+M31</f>
        <v>31.166666666666668</v>
      </c>
    </row>
    <row r="30" spans="1:14" ht="18.75" x14ac:dyDescent="0.25">
      <c r="A30" s="4" t="s">
        <v>66</v>
      </c>
      <c r="B30" s="4" t="s">
        <v>1</v>
      </c>
      <c r="C30" s="4">
        <v>3</v>
      </c>
      <c r="D30" s="4" t="s">
        <v>68</v>
      </c>
      <c r="E30" s="4">
        <v>4</v>
      </c>
      <c r="F30" s="4">
        <v>7</v>
      </c>
      <c r="G30" s="4">
        <v>6</v>
      </c>
      <c r="H30" s="4">
        <v>4</v>
      </c>
      <c r="I30" s="4"/>
      <c r="J30" s="4"/>
      <c r="K30" s="4">
        <f>((E30+F30)/2+G30+H30+I30+J30)/3</f>
        <v>5.166666666666667</v>
      </c>
      <c r="L30" s="4">
        <v>2</v>
      </c>
      <c r="M30" s="4">
        <f t="shared" ref="M30:M31" si="5">L30*K30</f>
        <v>10.333333333333334</v>
      </c>
      <c r="N30" s="19"/>
    </row>
    <row r="31" spans="1:14" ht="18.75" x14ac:dyDescent="0.25">
      <c r="A31" s="4" t="s">
        <v>66</v>
      </c>
      <c r="B31" s="4" t="s">
        <v>2</v>
      </c>
      <c r="C31" s="4">
        <v>17</v>
      </c>
      <c r="D31" s="4" t="s">
        <v>170</v>
      </c>
      <c r="E31" s="4">
        <v>5</v>
      </c>
      <c r="F31" s="4">
        <v>6</v>
      </c>
      <c r="G31" s="4">
        <v>6</v>
      </c>
      <c r="H31" s="4">
        <v>6</v>
      </c>
      <c r="I31" s="4"/>
      <c r="J31" s="4"/>
      <c r="K31" s="4">
        <f>((E31+F31)/2+G31+H31+I31+J31)/3</f>
        <v>5.833333333333333</v>
      </c>
      <c r="L31" s="4">
        <v>1</v>
      </c>
      <c r="M31" s="4">
        <f t="shared" si="5"/>
        <v>5.833333333333333</v>
      </c>
      <c r="N31" s="19"/>
    </row>
    <row r="32" spans="1:14" ht="18.75" x14ac:dyDescent="0.3">
      <c r="A32" s="2" t="s">
        <v>50</v>
      </c>
      <c r="B32" s="2"/>
      <c r="C32" s="2">
        <v>10.11</v>
      </c>
      <c r="D32" s="2"/>
      <c r="E32" s="18" t="s">
        <v>11</v>
      </c>
      <c r="F32" s="18"/>
      <c r="G32" s="18"/>
      <c r="H32" s="18"/>
      <c r="I32" s="18"/>
      <c r="J32" s="18"/>
      <c r="K32" s="2"/>
      <c r="L32" s="2"/>
      <c r="M32" s="2"/>
    </row>
    <row r="33" spans="1:14" ht="18.75" x14ac:dyDescent="0.25">
      <c r="A33" s="4" t="s">
        <v>8</v>
      </c>
      <c r="B33" s="6" t="s">
        <v>7</v>
      </c>
      <c r="C33" s="4" t="s">
        <v>9</v>
      </c>
      <c r="D33" s="4" t="s">
        <v>10</v>
      </c>
      <c r="E33" s="4" t="s">
        <v>12</v>
      </c>
      <c r="F33" s="4" t="s">
        <v>13</v>
      </c>
      <c r="G33" s="4"/>
      <c r="H33" s="4"/>
      <c r="I33" s="4"/>
      <c r="J33" s="4"/>
      <c r="K33" s="6" t="s">
        <v>14</v>
      </c>
      <c r="L33" s="4" t="s">
        <v>15</v>
      </c>
      <c r="M33" s="4" t="s">
        <v>16</v>
      </c>
      <c r="N33" s="7" t="s">
        <v>18</v>
      </c>
    </row>
    <row r="34" spans="1:14" ht="18.75" x14ac:dyDescent="0.25">
      <c r="A34" s="4" t="s">
        <v>96</v>
      </c>
      <c r="B34" s="4" t="s">
        <v>0</v>
      </c>
      <c r="C34" s="4">
        <v>6</v>
      </c>
      <c r="D34" s="4" t="s">
        <v>171</v>
      </c>
      <c r="E34" s="4">
        <v>3</v>
      </c>
      <c r="F34" s="4">
        <v>3</v>
      </c>
      <c r="G34" s="4">
        <v>3</v>
      </c>
      <c r="H34" s="4">
        <v>3</v>
      </c>
      <c r="I34" s="4"/>
      <c r="J34" s="4"/>
      <c r="K34" s="4">
        <f>((E34+F34)/2+G34+H34+I34+J34)/3</f>
        <v>3</v>
      </c>
      <c r="L34" s="4">
        <v>3</v>
      </c>
      <c r="M34" s="4">
        <f>L34*K34</f>
        <v>9</v>
      </c>
      <c r="N34" s="19">
        <f>M34+M35+M36</f>
        <v>23.499999999999996</v>
      </c>
    </row>
    <row r="35" spans="1:14" ht="18.75" x14ac:dyDescent="0.25">
      <c r="A35" s="4" t="s">
        <v>96</v>
      </c>
      <c r="B35" s="4" t="s">
        <v>1</v>
      </c>
      <c r="C35" s="4">
        <v>13</v>
      </c>
      <c r="D35" s="4" t="s">
        <v>172</v>
      </c>
      <c r="E35" s="4">
        <v>4</v>
      </c>
      <c r="F35" s="4">
        <v>5</v>
      </c>
      <c r="G35" s="4">
        <v>5</v>
      </c>
      <c r="H35" s="4">
        <v>5</v>
      </c>
      <c r="I35" s="4"/>
      <c r="J35" s="4"/>
      <c r="K35" s="4">
        <f>((E35+F35)/2+G35+H35+I35+J35)/3</f>
        <v>4.833333333333333</v>
      </c>
      <c r="L35" s="4">
        <v>2</v>
      </c>
      <c r="M35" s="4">
        <f t="shared" ref="M35:M36" si="6">L35*K35</f>
        <v>9.6666666666666661</v>
      </c>
      <c r="N35" s="19"/>
    </row>
    <row r="36" spans="1:14" ht="18.75" x14ac:dyDescent="0.25">
      <c r="A36" s="4" t="s">
        <v>96</v>
      </c>
      <c r="B36" s="4" t="s">
        <v>2</v>
      </c>
      <c r="C36" s="4">
        <v>3</v>
      </c>
      <c r="D36" s="4" t="s">
        <v>99</v>
      </c>
      <c r="E36" s="4">
        <v>3</v>
      </c>
      <c r="F36" s="4">
        <v>6</v>
      </c>
      <c r="G36" s="4">
        <v>5</v>
      </c>
      <c r="H36" s="4">
        <v>5</v>
      </c>
      <c r="I36" s="4"/>
      <c r="J36" s="4"/>
      <c r="K36" s="4">
        <f>((E36+F36)/2+G36+H36+I36+J36)/3</f>
        <v>4.833333333333333</v>
      </c>
      <c r="L36" s="4">
        <v>1</v>
      </c>
      <c r="M36" s="4">
        <f t="shared" si="6"/>
        <v>4.833333333333333</v>
      </c>
      <c r="N36" s="19"/>
    </row>
    <row r="37" spans="1:14" ht="18.75" x14ac:dyDescent="0.3">
      <c r="A37" s="2" t="s">
        <v>50</v>
      </c>
      <c r="B37" s="2"/>
      <c r="C37" s="2"/>
      <c r="D37" s="2"/>
      <c r="E37" s="18" t="s">
        <v>11</v>
      </c>
      <c r="F37" s="18"/>
      <c r="G37" s="18"/>
      <c r="H37" s="18"/>
      <c r="I37" s="18"/>
      <c r="J37" s="18"/>
      <c r="K37" s="2"/>
      <c r="L37" s="2"/>
      <c r="M37" s="2"/>
    </row>
    <row r="38" spans="1:14" ht="18.75" x14ac:dyDescent="0.25">
      <c r="A38" s="4" t="s">
        <v>8</v>
      </c>
      <c r="B38" s="6" t="s">
        <v>7</v>
      </c>
      <c r="C38" s="4" t="s">
        <v>9</v>
      </c>
      <c r="D38" s="4" t="s">
        <v>10</v>
      </c>
      <c r="E38" s="4" t="s">
        <v>12</v>
      </c>
      <c r="F38" s="4" t="s">
        <v>13</v>
      </c>
      <c r="G38" s="4"/>
      <c r="H38" s="4"/>
      <c r="I38" s="4"/>
      <c r="J38" s="4"/>
      <c r="K38" s="6" t="s">
        <v>14</v>
      </c>
      <c r="L38" s="4" t="s">
        <v>15</v>
      </c>
      <c r="M38" s="4" t="s">
        <v>16</v>
      </c>
      <c r="N38" s="7" t="s">
        <v>18</v>
      </c>
    </row>
    <row r="39" spans="1:14" ht="18.75" x14ac:dyDescent="0.25">
      <c r="A39" s="4" t="s">
        <v>173</v>
      </c>
      <c r="B39" s="4" t="s">
        <v>0</v>
      </c>
      <c r="C39" s="4">
        <v>17</v>
      </c>
      <c r="D39" s="4" t="s">
        <v>141</v>
      </c>
      <c r="E39" s="4">
        <v>5</v>
      </c>
      <c r="F39" s="4">
        <v>6</v>
      </c>
      <c r="G39" s="4">
        <v>5</v>
      </c>
      <c r="H39" s="4">
        <v>5</v>
      </c>
      <c r="I39" s="4"/>
      <c r="J39" s="4"/>
      <c r="K39" s="4">
        <f>((E39+F39)/2+G39+H39+I39+J39)/3</f>
        <v>5.166666666666667</v>
      </c>
      <c r="L39" s="4">
        <v>3</v>
      </c>
      <c r="M39" s="4">
        <f>L39*K39</f>
        <v>15.5</v>
      </c>
      <c r="N39" s="19">
        <f>M39+M40+M41</f>
        <v>34.833333333333329</v>
      </c>
    </row>
    <row r="40" spans="1:14" ht="18.75" x14ac:dyDescent="0.25">
      <c r="A40" s="4" t="s">
        <v>173</v>
      </c>
      <c r="B40" s="4" t="s">
        <v>1</v>
      </c>
      <c r="C40" s="4">
        <v>6</v>
      </c>
      <c r="D40" s="4" t="s">
        <v>87</v>
      </c>
      <c r="E40" s="4">
        <v>6</v>
      </c>
      <c r="F40" s="4">
        <v>7</v>
      </c>
      <c r="G40" s="4">
        <v>7</v>
      </c>
      <c r="H40" s="4">
        <v>7</v>
      </c>
      <c r="I40" s="4"/>
      <c r="J40" s="4"/>
      <c r="K40" s="4">
        <f>((E40+F40)/2+G40+H40+I40+J40)/3</f>
        <v>6.833333333333333</v>
      </c>
      <c r="L40" s="4">
        <v>2</v>
      </c>
      <c r="M40" s="4">
        <f t="shared" ref="M40:M41" si="7">L40*K40</f>
        <v>13.666666666666666</v>
      </c>
      <c r="N40" s="19"/>
    </row>
    <row r="41" spans="1:14" ht="18.75" x14ac:dyDescent="0.25">
      <c r="A41" s="4" t="s">
        <v>173</v>
      </c>
      <c r="B41" s="4" t="s">
        <v>2</v>
      </c>
      <c r="C41" s="4">
        <v>13</v>
      </c>
      <c r="D41" s="4" t="s">
        <v>141</v>
      </c>
      <c r="E41" s="4">
        <v>5</v>
      </c>
      <c r="F41" s="4">
        <v>7</v>
      </c>
      <c r="G41" s="4">
        <v>5</v>
      </c>
      <c r="H41" s="4">
        <v>6</v>
      </c>
      <c r="I41" s="4"/>
      <c r="J41" s="4"/>
      <c r="K41" s="4">
        <f>((E41+F41)/2+G41+H41+I41+J41)/3</f>
        <v>5.666666666666667</v>
      </c>
      <c r="L41" s="4">
        <v>1</v>
      </c>
      <c r="M41" s="4">
        <f t="shared" si="7"/>
        <v>5.666666666666667</v>
      </c>
      <c r="N41" s="19"/>
    </row>
    <row r="42" spans="1:14" ht="18.75" x14ac:dyDescent="0.3">
      <c r="A42" s="2" t="s">
        <v>19</v>
      </c>
      <c r="B42" s="2">
        <v>3</v>
      </c>
      <c r="C42" s="2"/>
      <c r="D42" s="2"/>
      <c r="E42" s="18" t="s">
        <v>11</v>
      </c>
      <c r="F42" s="18"/>
      <c r="G42" s="18"/>
      <c r="H42" s="18"/>
      <c r="I42" s="18"/>
      <c r="J42" s="18"/>
      <c r="K42" s="2"/>
      <c r="L42" s="2"/>
      <c r="M42" s="2"/>
    </row>
    <row r="43" spans="1:14" ht="18.75" x14ac:dyDescent="0.25">
      <c r="A43" s="4" t="s">
        <v>8</v>
      </c>
      <c r="B43" s="6" t="s">
        <v>7</v>
      </c>
      <c r="C43" s="4" t="s">
        <v>9</v>
      </c>
      <c r="D43" s="4" t="s">
        <v>10</v>
      </c>
      <c r="E43" s="4" t="s">
        <v>12</v>
      </c>
      <c r="F43" s="4" t="s">
        <v>13</v>
      </c>
      <c r="G43" s="4"/>
      <c r="H43" s="4"/>
      <c r="I43" s="4"/>
      <c r="J43" s="4"/>
      <c r="K43" s="6" t="s">
        <v>14</v>
      </c>
      <c r="L43" s="4" t="s">
        <v>15</v>
      </c>
      <c r="M43" s="4" t="s">
        <v>16</v>
      </c>
      <c r="N43" s="7" t="s">
        <v>18</v>
      </c>
    </row>
    <row r="44" spans="1:14" ht="18.75" x14ac:dyDescent="0.25">
      <c r="A44" s="4" t="s">
        <v>30</v>
      </c>
      <c r="B44" s="4" t="s">
        <v>0</v>
      </c>
      <c r="C44" s="4">
        <v>14</v>
      </c>
      <c r="D44" s="4" t="s">
        <v>116</v>
      </c>
      <c r="E44" s="4">
        <v>3</v>
      </c>
      <c r="F44" s="4">
        <v>5</v>
      </c>
      <c r="G44" s="4">
        <v>4</v>
      </c>
      <c r="H44" s="4">
        <v>4</v>
      </c>
      <c r="I44" s="4"/>
      <c r="J44" s="4"/>
      <c r="K44" s="4">
        <f>((E44+F44)/2+G44+H44+I44+J44)/3</f>
        <v>4</v>
      </c>
      <c r="L44" s="4">
        <v>3</v>
      </c>
      <c r="M44" s="4">
        <f>L44*K44</f>
        <v>12</v>
      </c>
      <c r="N44" s="19">
        <f>M44+M45+M46</f>
        <v>32.5</v>
      </c>
    </row>
    <row r="45" spans="1:14" ht="18.75" x14ac:dyDescent="0.25">
      <c r="A45" s="4" t="s">
        <v>30</v>
      </c>
      <c r="B45" s="4" t="s">
        <v>1</v>
      </c>
      <c r="C45" s="4">
        <v>15</v>
      </c>
      <c r="D45" s="4" t="s">
        <v>65</v>
      </c>
      <c r="E45" s="4">
        <v>6</v>
      </c>
      <c r="F45" s="4">
        <v>8</v>
      </c>
      <c r="G45" s="4">
        <v>7</v>
      </c>
      <c r="H45" s="4">
        <v>7</v>
      </c>
      <c r="I45" s="4"/>
      <c r="J45" s="4"/>
      <c r="K45" s="4">
        <f>((E45+F45)/2+G45+H45+I45+J45)/3</f>
        <v>7</v>
      </c>
      <c r="L45" s="4">
        <v>2</v>
      </c>
      <c r="M45" s="4">
        <f t="shared" ref="M45:M46" si="8">L45*K45</f>
        <v>14</v>
      </c>
      <c r="N45" s="19"/>
    </row>
    <row r="46" spans="1:14" ht="18.75" x14ac:dyDescent="0.25">
      <c r="A46" s="4" t="s">
        <v>30</v>
      </c>
      <c r="B46" s="4" t="s">
        <v>2</v>
      </c>
      <c r="C46" s="4">
        <v>17</v>
      </c>
      <c r="D46" s="4" t="s">
        <v>65</v>
      </c>
      <c r="E46" s="4">
        <v>6</v>
      </c>
      <c r="F46" s="4">
        <v>7</v>
      </c>
      <c r="G46" s="4">
        <v>6</v>
      </c>
      <c r="H46" s="4">
        <v>7</v>
      </c>
      <c r="I46" s="4"/>
      <c r="J46" s="4"/>
      <c r="K46" s="4">
        <f>((E46+F46)/2+G46+H46+I46+J46)/3</f>
        <v>6.5</v>
      </c>
      <c r="L46" s="4">
        <v>1</v>
      </c>
      <c r="M46" s="4">
        <f t="shared" si="8"/>
        <v>6.5</v>
      </c>
      <c r="N46" s="19"/>
    </row>
    <row r="47" spans="1:14" ht="18.75" x14ac:dyDescent="0.3">
      <c r="A47" s="2" t="s">
        <v>19</v>
      </c>
      <c r="B47" s="2"/>
      <c r="C47" s="2"/>
      <c r="D47" s="2"/>
      <c r="E47" s="18" t="s">
        <v>11</v>
      </c>
      <c r="F47" s="18"/>
      <c r="G47" s="18"/>
      <c r="H47" s="18"/>
      <c r="I47" s="18"/>
      <c r="J47" s="18"/>
      <c r="K47" s="2"/>
      <c r="L47" s="2"/>
      <c r="M47" s="2"/>
    </row>
    <row r="48" spans="1:14" ht="18.75" x14ac:dyDescent="0.25">
      <c r="A48" s="4" t="s">
        <v>8</v>
      </c>
      <c r="B48" s="6" t="s">
        <v>7</v>
      </c>
      <c r="C48" s="4" t="s">
        <v>9</v>
      </c>
      <c r="D48" s="4" t="s">
        <v>10</v>
      </c>
      <c r="E48" s="4" t="s">
        <v>12</v>
      </c>
      <c r="F48" s="4" t="s">
        <v>13</v>
      </c>
      <c r="G48" s="4"/>
      <c r="H48" s="4"/>
      <c r="I48" s="4"/>
      <c r="J48" s="4"/>
      <c r="K48" s="6" t="s">
        <v>14</v>
      </c>
      <c r="L48" s="4" t="s">
        <v>15</v>
      </c>
      <c r="M48" s="4" t="s">
        <v>16</v>
      </c>
      <c r="N48" s="7" t="s">
        <v>18</v>
      </c>
    </row>
    <row r="49" spans="1:14" ht="18.75" x14ac:dyDescent="0.25">
      <c r="A49" s="4" t="s">
        <v>38</v>
      </c>
      <c r="B49" s="4" t="s">
        <v>0</v>
      </c>
      <c r="C49" s="4">
        <v>17</v>
      </c>
      <c r="D49" s="4" t="s">
        <v>40</v>
      </c>
      <c r="E49" s="4">
        <v>5</v>
      </c>
      <c r="F49" s="4">
        <v>7</v>
      </c>
      <c r="G49" s="4">
        <v>6</v>
      </c>
      <c r="H49" s="4">
        <v>6</v>
      </c>
      <c r="I49" s="4"/>
      <c r="J49" s="4"/>
      <c r="K49" s="4">
        <f>((E49+F49)/2+G49+H49+I49+J49)/3</f>
        <v>6</v>
      </c>
      <c r="L49" s="4">
        <v>3</v>
      </c>
      <c r="M49" s="4">
        <f>L49*K49</f>
        <v>18</v>
      </c>
      <c r="N49" s="19">
        <f>M49+M50+M51</f>
        <v>33.333333333333336</v>
      </c>
    </row>
    <row r="50" spans="1:14" ht="18.75" x14ac:dyDescent="0.25">
      <c r="A50" s="4" t="s">
        <v>38</v>
      </c>
      <c r="B50" s="4" t="s">
        <v>1</v>
      </c>
      <c r="C50" s="4">
        <v>14</v>
      </c>
      <c r="D50" s="4" t="s">
        <v>146</v>
      </c>
      <c r="E50" s="4">
        <v>4</v>
      </c>
      <c r="F50" s="4">
        <v>5</v>
      </c>
      <c r="G50" s="4">
        <v>4</v>
      </c>
      <c r="H50" s="4">
        <v>5</v>
      </c>
      <c r="I50" s="4"/>
      <c r="J50" s="4"/>
      <c r="K50" s="4">
        <f>((E50+F50)/2+G50+H50+I50+J50)/3</f>
        <v>4.5</v>
      </c>
      <c r="L50" s="4">
        <v>2</v>
      </c>
      <c r="M50" s="4">
        <f t="shared" ref="M50:M51" si="9">L50*K50</f>
        <v>9</v>
      </c>
      <c r="N50" s="19"/>
    </row>
    <row r="51" spans="1:14" ht="18.75" x14ac:dyDescent="0.25">
      <c r="A51" s="4" t="s">
        <v>38</v>
      </c>
      <c r="B51" s="4" t="s">
        <v>2</v>
      </c>
      <c r="C51" s="4">
        <v>15</v>
      </c>
      <c r="D51" s="4" t="s">
        <v>39</v>
      </c>
      <c r="E51" s="4">
        <v>6</v>
      </c>
      <c r="F51" s="4">
        <v>8</v>
      </c>
      <c r="G51" s="4">
        <v>6</v>
      </c>
      <c r="H51" s="4">
        <v>6</v>
      </c>
      <c r="I51" s="4"/>
      <c r="J51" s="4"/>
      <c r="K51" s="4">
        <f>((E51+F51)/2+G51+H51+I51+J51)/3</f>
        <v>6.333333333333333</v>
      </c>
      <c r="L51" s="4">
        <v>1</v>
      </c>
      <c r="M51" s="4">
        <f t="shared" si="9"/>
        <v>6.333333333333333</v>
      </c>
      <c r="N51" s="19"/>
    </row>
    <row r="52" spans="1:14" ht="18.75" x14ac:dyDescent="0.3">
      <c r="A52" s="2" t="s">
        <v>19</v>
      </c>
      <c r="B52" s="2"/>
      <c r="C52" s="2"/>
      <c r="D52" s="2"/>
      <c r="E52" s="18" t="s">
        <v>11</v>
      </c>
      <c r="F52" s="18"/>
      <c r="G52" s="18"/>
      <c r="H52" s="18"/>
      <c r="I52" s="18"/>
      <c r="J52" s="18"/>
      <c r="K52" s="2"/>
      <c r="L52" s="2"/>
      <c r="M52" s="2"/>
    </row>
    <row r="53" spans="1:14" ht="18.75" x14ac:dyDescent="0.25">
      <c r="A53" s="4" t="s">
        <v>8</v>
      </c>
      <c r="B53" s="6" t="s">
        <v>7</v>
      </c>
      <c r="C53" s="4" t="s">
        <v>9</v>
      </c>
      <c r="D53" s="4" t="s">
        <v>10</v>
      </c>
      <c r="E53" s="4" t="s">
        <v>12</v>
      </c>
      <c r="F53" s="4" t="s">
        <v>13</v>
      </c>
      <c r="G53" s="4"/>
      <c r="H53" s="4"/>
      <c r="I53" s="4"/>
      <c r="J53" s="4"/>
      <c r="K53" s="6" t="s">
        <v>14</v>
      </c>
      <c r="L53" s="4" t="s">
        <v>15</v>
      </c>
      <c r="M53" s="4" t="s">
        <v>16</v>
      </c>
      <c r="N53" s="7" t="s">
        <v>18</v>
      </c>
    </row>
    <row r="54" spans="1:14" ht="18.75" x14ac:dyDescent="0.25">
      <c r="A54" s="4" t="s">
        <v>93</v>
      </c>
      <c r="B54" s="4" t="s">
        <v>0</v>
      </c>
      <c r="C54" s="4">
        <v>15</v>
      </c>
      <c r="D54" s="4" t="s">
        <v>120</v>
      </c>
      <c r="E54" s="4">
        <v>7</v>
      </c>
      <c r="F54" s="4">
        <v>8</v>
      </c>
      <c r="G54" s="4">
        <v>8</v>
      </c>
      <c r="H54" s="4">
        <v>8</v>
      </c>
      <c r="I54" s="4"/>
      <c r="J54" s="4"/>
      <c r="K54" s="4">
        <f>((E54+F54)/2+G54+H54+I54+J54)/3</f>
        <v>7.833333333333333</v>
      </c>
      <c r="L54" s="4">
        <v>3</v>
      </c>
      <c r="M54" s="4">
        <f>L54*K54</f>
        <v>23.5</v>
      </c>
      <c r="N54" s="19">
        <f>M54+M55+M56</f>
        <v>40.5</v>
      </c>
    </row>
    <row r="55" spans="1:14" ht="18.75" x14ac:dyDescent="0.25">
      <c r="A55" s="4" t="s">
        <v>93</v>
      </c>
      <c r="B55" s="4" t="s">
        <v>1</v>
      </c>
      <c r="C55" s="4">
        <v>17</v>
      </c>
      <c r="D55" s="4" t="s">
        <v>151</v>
      </c>
      <c r="E55" s="4">
        <v>5</v>
      </c>
      <c r="F55" s="4">
        <v>6</v>
      </c>
      <c r="G55" s="4">
        <v>5</v>
      </c>
      <c r="H55" s="4">
        <v>5</v>
      </c>
      <c r="I55" s="4"/>
      <c r="J55" s="4"/>
      <c r="K55" s="4">
        <f>((E55+F55)/2+G55+H55+I55+J55)/3</f>
        <v>5.166666666666667</v>
      </c>
      <c r="L55" s="4">
        <v>2</v>
      </c>
      <c r="M55" s="4">
        <f t="shared" ref="M55:M56" si="10">L55*K55</f>
        <v>10.333333333333334</v>
      </c>
      <c r="N55" s="19"/>
    </row>
    <row r="56" spans="1:14" ht="18.75" x14ac:dyDescent="0.25">
      <c r="A56" s="4" t="s">
        <v>93</v>
      </c>
      <c r="B56" s="4" t="s">
        <v>2</v>
      </c>
      <c r="C56" s="4">
        <v>14</v>
      </c>
      <c r="D56" s="4" t="s">
        <v>120</v>
      </c>
      <c r="E56" s="4">
        <v>6</v>
      </c>
      <c r="F56" s="4">
        <v>8</v>
      </c>
      <c r="G56" s="4">
        <v>6</v>
      </c>
      <c r="H56" s="4">
        <v>7</v>
      </c>
      <c r="I56" s="4"/>
      <c r="J56" s="4"/>
      <c r="K56" s="4">
        <f>((E56+F56)/2+G56+H56+I56+J56)/3</f>
        <v>6.666666666666667</v>
      </c>
      <c r="L56" s="4">
        <v>1</v>
      </c>
      <c r="M56" s="4">
        <f t="shared" si="10"/>
        <v>6.666666666666667</v>
      </c>
      <c r="N56" s="19"/>
    </row>
    <row r="57" spans="1:14" ht="18.75" x14ac:dyDescent="0.3">
      <c r="A57" s="2" t="s">
        <v>6</v>
      </c>
      <c r="B57" s="2"/>
      <c r="C57" s="2"/>
      <c r="D57" s="2"/>
      <c r="E57" s="18" t="s">
        <v>11</v>
      </c>
      <c r="F57" s="18"/>
      <c r="G57" s="18"/>
      <c r="H57" s="18"/>
      <c r="I57" s="18"/>
      <c r="J57" s="18"/>
      <c r="K57" s="2"/>
      <c r="L57" s="2"/>
      <c r="M57" s="2"/>
    </row>
    <row r="58" spans="1:14" ht="18.75" x14ac:dyDescent="0.25">
      <c r="A58" s="4" t="s">
        <v>8</v>
      </c>
      <c r="B58" s="6" t="s">
        <v>7</v>
      </c>
      <c r="C58" s="4" t="s">
        <v>9</v>
      </c>
      <c r="D58" s="4" t="s">
        <v>10</v>
      </c>
      <c r="E58" s="4" t="s">
        <v>12</v>
      </c>
      <c r="F58" s="4" t="s">
        <v>13</v>
      </c>
      <c r="G58" s="4"/>
      <c r="H58" s="4"/>
      <c r="I58" s="4"/>
      <c r="J58" s="4"/>
      <c r="K58" s="6" t="s">
        <v>14</v>
      </c>
      <c r="L58" s="4" t="s">
        <v>15</v>
      </c>
      <c r="M58" s="4" t="s">
        <v>16</v>
      </c>
      <c r="N58" s="7" t="s">
        <v>18</v>
      </c>
    </row>
    <row r="59" spans="1:14" ht="18.75" x14ac:dyDescent="0.25">
      <c r="A59" s="4" t="s">
        <v>22</v>
      </c>
      <c r="B59" s="4" t="s">
        <v>0</v>
      </c>
      <c r="C59" s="4">
        <v>6</v>
      </c>
      <c r="D59" s="4" t="s">
        <v>48</v>
      </c>
      <c r="E59" s="4">
        <v>4</v>
      </c>
      <c r="F59" s="4">
        <v>5</v>
      </c>
      <c r="G59" s="4">
        <v>4</v>
      </c>
      <c r="H59" s="4">
        <v>5</v>
      </c>
      <c r="I59" s="4"/>
      <c r="J59" s="4"/>
      <c r="K59" s="4">
        <f>((E59+F59)/2+G59+H59+I59+J59)/3</f>
        <v>4.5</v>
      </c>
      <c r="L59" s="4">
        <v>3</v>
      </c>
      <c r="M59" s="4">
        <f>L59*K59</f>
        <v>13.5</v>
      </c>
      <c r="N59" s="19">
        <f>M59+M60+M61</f>
        <v>28.666666666666668</v>
      </c>
    </row>
    <row r="60" spans="1:14" ht="18.75" x14ac:dyDescent="0.25">
      <c r="A60" s="4" t="s">
        <v>22</v>
      </c>
      <c r="B60" s="4" t="s">
        <v>1</v>
      </c>
      <c r="C60" s="4">
        <v>15</v>
      </c>
      <c r="D60" s="4" t="s">
        <v>152</v>
      </c>
      <c r="E60" s="4">
        <v>3</v>
      </c>
      <c r="F60" s="4">
        <v>6</v>
      </c>
      <c r="G60" s="4">
        <v>4</v>
      </c>
      <c r="H60" s="4">
        <v>5</v>
      </c>
      <c r="I60" s="4"/>
      <c r="J60" s="4"/>
      <c r="K60" s="4">
        <f>((E60+F60)/2+G60+H60+I60+J60)/3</f>
        <v>4.5</v>
      </c>
      <c r="L60" s="4">
        <v>2</v>
      </c>
      <c r="M60" s="4">
        <f t="shared" ref="M60:M61" si="11">L60*K60</f>
        <v>9</v>
      </c>
      <c r="N60" s="19"/>
    </row>
    <row r="61" spans="1:14" ht="18.75" x14ac:dyDescent="0.25">
      <c r="A61" s="4" t="s">
        <v>22</v>
      </c>
      <c r="B61" s="4" t="s">
        <v>2</v>
      </c>
      <c r="C61" s="4">
        <v>2</v>
      </c>
      <c r="D61" s="4" t="s">
        <v>153</v>
      </c>
      <c r="E61" s="4">
        <v>5</v>
      </c>
      <c r="F61" s="4">
        <v>8</v>
      </c>
      <c r="G61" s="4">
        <v>6</v>
      </c>
      <c r="H61" s="4">
        <v>6</v>
      </c>
      <c r="I61" s="4"/>
      <c r="J61" s="4"/>
      <c r="K61" s="4">
        <f>((E61+F61)/2+G61+H61+I61+J61)/3</f>
        <v>6.166666666666667</v>
      </c>
      <c r="L61" s="4">
        <v>1</v>
      </c>
      <c r="M61" s="4">
        <f t="shared" si="11"/>
        <v>6.166666666666667</v>
      </c>
      <c r="N61" s="19"/>
    </row>
    <row r="62" spans="1:14" ht="18.75" x14ac:dyDescent="0.3">
      <c r="A62" s="2" t="s">
        <v>6</v>
      </c>
      <c r="B62" s="2">
        <v>14</v>
      </c>
      <c r="C62" s="2"/>
      <c r="D62" s="2"/>
      <c r="E62" s="18" t="s">
        <v>11</v>
      </c>
      <c r="F62" s="18"/>
      <c r="G62" s="18"/>
      <c r="H62" s="18"/>
      <c r="I62" s="18"/>
      <c r="J62" s="18"/>
      <c r="K62" s="2"/>
      <c r="L62" s="2"/>
      <c r="M62" s="2"/>
    </row>
    <row r="63" spans="1:14" ht="18.75" x14ac:dyDescent="0.25">
      <c r="A63" s="4" t="s">
        <v>8</v>
      </c>
      <c r="B63" s="6" t="s">
        <v>7</v>
      </c>
      <c r="C63" s="4" t="s">
        <v>9</v>
      </c>
      <c r="D63" s="4" t="s">
        <v>10</v>
      </c>
      <c r="E63" s="4" t="s">
        <v>12</v>
      </c>
      <c r="F63" s="4" t="s">
        <v>13</v>
      </c>
      <c r="G63" s="4"/>
      <c r="H63" s="4"/>
      <c r="I63" s="4"/>
      <c r="J63" s="4"/>
      <c r="K63" s="6" t="s">
        <v>14</v>
      </c>
      <c r="L63" s="4" t="s">
        <v>15</v>
      </c>
      <c r="M63" s="4" t="s">
        <v>16</v>
      </c>
      <c r="N63" s="7" t="s">
        <v>18</v>
      </c>
    </row>
    <row r="64" spans="1:14" ht="18.75" x14ac:dyDescent="0.25">
      <c r="A64" s="4" t="s">
        <v>29</v>
      </c>
      <c r="B64" s="4" t="s">
        <v>0</v>
      </c>
      <c r="C64" s="4">
        <v>2</v>
      </c>
      <c r="D64" s="4" t="s">
        <v>150</v>
      </c>
      <c r="E64" s="4">
        <v>4</v>
      </c>
      <c r="F64" s="4">
        <v>7</v>
      </c>
      <c r="G64" s="4">
        <v>6</v>
      </c>
      <c r="H64" s="4">
        <v>7</v>
      </c>
      <c r="I64" s="4"/>
      <c r="J64" s="4"/>
      <c r="K64" s="4">
        <f>((E64+F64)/2+G64+H64+I64+J64)/3</f>
        <v>6.166666666666667</v>
      </c>
      <c r="L64" s="4">
        <v>3</v>
      </c>
      <c r="M64" s="4">
        <f>L64*K64</f>
        <v>18.5</v>
      </c>
      <c r="N64" s="19">
        <f>M64+M65+M66</f>
        <v>37</v>
      </c>
    </row>
    <row r="65" spans="1:14" ht="18.75" x14ac:dyDescent="0.25">
      <c r="A65" s="4" t="s">
        <v>29</v>
      </c>
      <c r="B65" s="4" t="s">
        <v>1</v>
      </c>
      <c r="C65" s="4">
        <v>6</v>
      </c>
      <c r="D65" s="4" t="s">
        <v>154</v>
      </c>
      <c r="E65" s="4">
        <v>6</v>
      </c>
      <c r="F65" s="4">
        <v>7</v>
      </c>
      <c r="G65" s="4">
        <v>6</v>
      </c>
      <c r="H65" s="4">
        <v>7</v>
      </c>
      <c r="I65" s="4"/>
      <c r="J65" s="4"/>
      <c r="K65" s="4">
        <f>((E65+F65)/2+G65+H65+I65+J65)/3</f>
        <v>6.5</v>
      </c>
      <c r="L65" s="4">
        <v>2</v>
      </c>
      <c r="M65" s="4">
        <f t="shared" ref="M65:M66" si="12">L65*K65</f>
        <v>13</v>
      </c>
      <c r="N65" s="19"/>
    </row>
    <row r="66" spans="1:14" ht="18.75" x14ac:dyDescent="0.25">
      <c r="A66" s="4" t="s">
        <v>29</v>
      </c>
      <c r="B66" s="4" t="s">
        <v>2</v>
      </c>
      <c r="C66" s="4">
        <v>15</v>
      </c>
      <c r="D66" s="4" t="s">
        <v>148</v>
      </c>
      <c r="E66" s="4">
        <v>5</v>
      </c>
      <c r="F66" s="4">
        <v>6</v>
      </c>
      <c r="G66" s="4">
        <v>5</v>
      </c>
      <c r="H66" s="4">
        <v>6</v>
      </c>
      <c r="I66" s="4"/>
      <c r="J66" s="4"/>
      <c r="K66" s="4">
        <f>((E66+F66)/2+G66+H66+I66+J66)/3</f>
        <v>5.5</v>
      </c>
      <c r="L66" s="4">
        <v>1</v>
      </c>
      <c r="M66" s="4">
        <f t="shared" si="12"/>
        <v>5.5</v>
      </c>
      <c r="N66" s="19"/>
    </row>
    <row r="67" spans="1:14" ht="18.75" x14ac:dyDescent="0.3">
      <c r="A67" s="2" t="s">
        <v>6</v>
      </c>
      <c r="B67" s="2"/>
      <c r="C67" s="2"/>
      <c r="D67" s="2"/>
      <c r="E67" s="18" t="s">
        <v>11</v>
      </c>
      <c r="F67" s="18"/>
      <c r="G67" s="18"/>
      <c r="H67" s="18"/>
      <c r="I67" s="18"/>
      <c r="J67" s="18"/>
      <c r="K67" s="2"/>
      <c r="L67" s="2"/>
      <c r="M67" s="2"/>
    </row>
    <row r="68" spans="1:14" ht="18.75" x14ac:dyDescent="0.25">
      <c r="A68" s="4" t="s">
        <v>8</v>
      </c>
      <c r="B68" s="6" t="s">
        <v>7</v>
      </c>
      <c r="C68" s="4" t="s">
        <v>9</v>
      </c>
      <c r="D68" s="4" t="s">
        <v>10</v>
      </c>
      <c r="E68" s="4" t="s">
        <v>12</v>
      </c>
      <c r="F68" s="4" t="s">
        <v>13</v>
      </c>
      <c r="G68" s="4"/>
      <c r="H68" s="4"/>
      <c r="I68" s="4"/>
      <c r="J68" s="4"/>
      <c r="K68" s="6" t="s">
        <v>14</v>
      </c>
      <c r="L68" s="4" t="s">
        <v>15</v>
      </c>
      <c r="M68" s="4" t="s">
        <v>16</v>
      </c>
      <c r="N68" s="7" t="s">
        <v>18</v>
      </c>
    </row>
    <row r="69" spans="1:14" ht="18.75" x14ac:dyDescent="0.25">
      <c r="A69" s="4" t="s">
        <v>31</v>
      </c>
      <c r="B69" s="4" t="s">
        <v>0</v>
      </c>
      <c r="C69" s="4">
        <v>15</v>
      </c>
      <c r="D69" s="4" t="s">
        <v>72</v>
      </c>
      <c r="E69" s="4">
        <v>5</v>
      </c>
      <c r="F69" s="4">
        <v>7</v>
      </c>
      <c r="G69" s="4">
        <v>5</v>
      </c>
      <c r="H69" s="4">
        <v>6</v>
      </c>
      <c r="I69" s="4"/>
      <c r="J69" s="4"/>
      <c r="K69" s="4">
        <f>((E69+F69)/2+G69+H69+I69+J69)/3</f>
        <v>5.666666666666667</v>
      </c>
      <c r="L69" s="4">
        <v>3</v>
      </c>
      <c r="M69" s="4">
        <f>L69*K69</f>
        <v>17</v>
      </c>
      <c r="N69" s="19">
        <f>M69+M70+M71</f>
        <v>34.333333333333336</v>
      </c>
    </row>
    <row r="70" spans="1:14" ht="18.75" x14ac:dyDescent="0.25">
      <c r="A70" s="4" t="s">
        <v>31</v>
      </c>
      <c r="B70" s="4" t="s">
        <v>1</v>
      </c>
      <c r="C70" s="4">
        <v>2</v>
      </c>
      <c r="D70" s="4" t="s">
        <v>72</v>
      </c>
      <c r="E70" s="4">
        <v>5</v>
      </c>
      <c r="F70" s="4">
        <v>6</v>
      </c>
      <c r="G70" s="4">
        <v>5</v>
      </c>
      <c r="H70" s="4">
        <v>6</v>
      </c>
      <c r="I70" s="4"/>
      <c r="J70" s="4"/>
      <c r="K70" s="4">
        <f>((E70+F70)/2+G70+H70+I70+J70)/3</f>
        <v>5.5</v>
      </c>
      <c r="L70" s="4">
        <v>2</v>
      </c>
      <c r="M70" s="4">
        <f t="shared" ref="M70:M71" si="13">L70*K70</f>
        <v>11</v>
      </c>
      <c r="N70" s="19"/>
    </row>
    <row r="71" spans="1:14" ht="18.75" x14ac:dyDescent="0.25">
      <c r="A71" s="4" t="s">
        <v>31</v>
      </c>
      <c r="B71" s="4" t="s">
        <v>2</v>
      </c>
      <c r="C71" s="4">
        <v>6</v>
      </c>
      <c r="D71" s="4" t="s">
        <v>71</v>
      </c>
      <c r="E71" s="4">
        <v>6</v>
      </c>
      <c r="F71" s="4">
        <v>8</v>
      </c>
      <c r="G71" s="4">
        <v>6</v>
      </c>
      <c r="H71" s="4">
        <v>6</v>
      </c>
      <c r="I71" s="4"/>
      <c r="J71" s="4"/>
      <c r="K71" s="4">
        <f>((E71+F71)/2+G71+H71+I71+J71)/3</f>
        <v>6.333333333333333</v>
      </c>
      <c r="L71" s="4">
        <v>1</v>
      </c>
      <c r="M71" s="4">
        <f t="shared" si="13"/>
        <v>6.333333333333333</v>
      </c>
      <c r="N71" s="19"/>
    </row>
    <row r="72" spans="1:14" ht="18.75" x14ac:dyDescent="0.3">
      <c r="A72" s="2" t="s">
        <v>5</v>
      </c>
      <c r="B72" s="2"/>
      <c r="C72" s="2"/>
      <c r="D72" s="2"/>
      <c r="E72" s="18" t="s">
        <v>11</v>
      </c>
      <c r="F72" s="18"/>
      <c r="G72" s="18"/>
      <c r="H72" s="18"/>
      <c r="I72" s="18"/>
      <c r="J72" s="18"/>
      <c r="K72" s="2"/>
      <c r="L72" s="2"/>
      <c r="M72" s="2"/>
    </row>
    <row r="73" spans="1:14" ht="18.75" x14ac:dyDescent="0.25">
      <c r="A73" s="4" t="s">
        <v>8</v>
      </c>
      <c r="B73" s="6" t="s">
        <v>7</v>
      </c>
      <c r="C73" s="4" t="s">
        <v>9</v>
      </c>
      <c r="D73" s="4" t="s">
        <v>10</v>
      </c>
      <c r="E73" s="4" t="s">
        <v>12</v>
      </c>
      <c r="F73" s="4" t="s">
        <v>13</v>
      </c>
      <c r="G73" s="4"/>
      <c r="H73" s="4"/>
      <c r="I73" s="4"/>
      <c r="J73" s="4"/>
      <c r="K73" s="6" t="s">
        <v>14</v>
      </c>
      <c r="L73" s="4" t="s">
        <v>15</v>
      </c>
      <c r="M73" s="4" t="s">
        <v>16</v>
      </c>
      <c r="N73" s="7" t="s">
        <v>18</v>
      </c>
    </row>
    <row r="74" spans="1:14" ht="18.75" x14ac:dyDescent="0.25">
      <c r="A74" s="4" t="s">
        <v>33</v>
      </c>
      <c r="B74" s="4" t="s">
        <v>0</v>
      </c>
      <c r="C74" s="4">
        <v>14</v>
      </c>
      <c r="D74" s="4" t="s">
        <v>80</v>
      </c>
      <c r="E74" s="4">
        <v>6</v>
      </c>
      <c r="F74" s="4">
        <v>8</v>
      </c>
      <c r="G74" s="4">
        <v>7</v>
      </c>
      <c r="H74" s="4">
        <v>6</v>
      </c>
      <c r="I74" s="4"/>
      <c r="J74" s="4"/>
      <c r="K74" s="4">
        <f>((E74+F74)/2+G74+H74+I74+J74)/3</f>
        <v>6.666666666666667</v>
      </c>
      <c r="L74" s="4">
        <v>3</v>
      </c>
      <c r="M74" s="4">
        <f>L74*K74</f>
        <v>20</v>
      </c>
      <c r="N74" s="19">
        <f>M74+M75+M76</f>
        <v>41.333333333333336</v>
      </c>
    </row>
    <row r="75" spans="1:14" ht="18.75" x14ac:dyDescent="0.25">
      <c r="A75" s="4" t="s">
        <v>33</v>
      </c>
      <c r="B75" s="4" t="s">
        <v>1</v>
      </c>
      <c r="C75" s="4">
        <v>3</v>
      </c>
      <c r="D75" s="4" t="s">
        <v>81</v>
      </c>
      <c r="E75" s="4">
        <v>6</v>
      </c>
      <c r="F75" s="4">
        <v>9</v>
      </c>
      <c r="G75" s="4">
        <v>7</v>
      </c>
      <c r="H75" s="4">
        <v>7</v>
      </c>
      <c r="I75" s="4"/>
      <c r="J75" s="4"/>
      <c r="K75" s="4">
        <f>((E75+F75)/2+G75+H75+I75+J75)/3</f>
        <v>7.166666666666667</v>
      </c>
      <c r="L75" s="4">
        <v>2</v>
      </c>
      <c r="M75" s="4">
        <f t="shared" ref="M75:M76" si="14">L75*K75</f>
        <v>14.333333333333334</v>
      </c>
      <c r="N75" s="19"/>
    </row>
    <row r="76" spans="1:14" ht="18.75" x14ac:dyDescent="0.25">
      <c r="A76" s="4" t="s">
        <v>33</v>
      </c>
      <c r="B76" s="4" t="s">
        <v>2</v>
      </c>
      <c r="C76" s="4">
        <v>15</v>
      </c>
      <c r="D76" s="4" t="s">
        <v>79</v>
      </c>
      <c r="E76" s="4">
        <v>6</v>
      </c>
      <c r="F76" s="4">
        <v>8</v>
      </c>
      <c r="G76" s="4">
        <v>7</v>
      </c>
      <c r="H76" s="4">
        <v>7</v>
      </c>
      <c r="I76" s="4"/>
      <c r="J76" s="4"/>
      <c r="K76" s="4">
        <f>((E76+F76)/2+G76+H76+I76+J76)/3</f>
        <v>7</v>
      </c>
      <c r="L76" s="4">
        <v>1</v>
      </c>
      <c r="M76" s="4">
        <f t="shared" si="14"/>
        <v>7</v>
      </c>
      <c r="N76" s="19"/>
    </row>
    <row r="77" spans="1:14" ht="18.75" x14ac:dyDescent="0.3">
      <c r="A77" s="2" t="s">
        <v>5</v>
      </c>
      <c r="B77" s="2"/>
      <c r="C77" s="2"/>
      <c r="D77" s="2"/>
      <c r="E77" s="18" t="s">
        <v>11</v>
      </c>
      <c r="F77" s="18"/>
      <c r="G77" s="18"/>
      <c r="H77" s="18"/>
      <c r="I77" s="18"/>
      <c r="J77" s="18"/>
      <c r="K77" s="2"/>
      <c r="L77" s="2"/>
      <c r="M77" s="2"/>
    </row>
    <row r="78" spans="1:14" ht="18.75" x14ac:dyDescent="0.25">
      <c r="A78" s="4" t="s">
        <v>8</v>
      </c>
      <c r="B78" s="6" t="s">
        <v>7</v>
      </c>
      <c r="C78" s="4" t="s">
        <v>9</v>
      </c>
      <c r="D78" s="4" t="s">
        <v>10</v>
      </c>
      <c r="E78" s="4" t="s">
        <v>12</v>
      </c>
      <c r="F78" s="4" t="s">
        <v>13</v>
      </c>
      <c r="G78" s="4"/>
      <c r="H78" s="4"/>
      <c r="I78" s="4"/>
      <c r="J78" s="4"/>
      <c r="K78" s="6" t="s">
        <v>14</v>
      </c>
      <c r="L78" s="4" t="s">
        <v>15</v>
      </c>
      <c r="M78" s="4" t="s">
        <v>16</v>
      </c>
      <c r="N78" s="7" t="s">
        <v>18</v>
      </c>
    </row>
    <row r="79" spans="1:14" ht="18.75" x14ac:dyDescent="0.25">
      <c r="A79" s="4" t="s">
        <v>155</v>
      </c>
      <c r="B79" s="4" t="s">
        <v>0</v>
      </c>
      <c r="C79" s="4">
        <v>3</v>
      </c>
      <c r="D79" s="4" t="s">
        <v>58</v>
      </c>
      <c r="E79" s="4">
        <v>6</v>
      </c>
      <c r="F79" s="4">
        <v>8</v>
      </c>
      <c r="G79" s="4">
        <v>6</v>
      </c>
      <c r="H79" s="4">
        <v>7</v>
      </c>
      <c r="I79" s="4"/>
      <c r="J79" s="4"/>
      <c r="K79" s="4">
        <f>((E79+F79)/2+G79+H79+I79+J79)/3</f>
        <v>6.666666666666667</v>
      </c>
      <c r="L79" s="4">
        <v>3</v>
      </c>
      <c r="M79" s="4">
        <f>L79*K79</f>
        <v>20</v>
      </c>
      <c r="N79" s="19">
        <f>M79+M80+M81</f>
        <v>42.166666666666664</v>
      </c>
    </row>
    <row r="80" spans="1:14" ht="18.75" x14ac:dyDescent="0.25">
      <c r="A80" s="4" t="s">
        <v>155</v>
      </c>
      <c r="B80" s="4" t="s">
        <v>1</v>
      </c>
      <c r="C80" s="4">
        <v>15</v>
      </c>
      <c r="D80" s="4" t="s">
        <v>60</v>
      </c>
      <c r="E80" s="4">
        <v>6</v>
      </c>
      <c r="F80" s="4">
        <v>9</v>
      </c>
      <c r="G80" s="4">
        <v>8</v>
      </c>
      <c r="H80" s="4">
        <v>8</v>
      </c>
      <c r="I80" s="4"/>
      <c r="J80" s="4"/>
      <c r="K80" s="4">
        <f>((E80+F80)/2+G80+H80+I80+J80)/3</f>
        <v>7.833333333333333</v>
      </c>
      <c r="L80" s="4">
        <v>2</v>
      </c>
      <c r="M80" s="4">
        <f t="shared" ref="M80:M81" si="15">L80*K80</f>
        <v>15.666666666666666</v>
      </c>
      <c r="N80" s="19"/>
    </row>
    <row r="81" spans="1:14" ht="18.75" x14ac:dyDescent="0.25">
      <c r="A81" s="4" t="s">
        <v>155</v>
      </c>
      <c r="B81" s="4" t="s">
        <v>2</v>
      </c>
      <c r="C81" s="4">
        <v>14</v>
      </c>
      <c r="D81" s="4" t="s">
        <v>59</v>
      </c>
      <c r="E81" s="4">
        <v>6</v>
      </c>
      <c r="F81" s="4">
        <v>7</v>
      </c>
      <c r="G81" s="4">
        <v>6</v>
      </c>
      <c r="H81" s="4">
        <v>7</v>
      </c>
      <c r="I81" s="4"/>
      <c r="J81" s="4"/>
      <c r="K81" s="4">
        <f>((E81+F81)/2+G81+H81+I81+J81)/3</f>
        <v>6.5</v>
      </c>
      <c r="L81" s="4">
        <v>1</v>
      </c>
      <c r="M81" s="4">
        <f t="shared" si="15"/>
        <v>6.5</v>
      </c>
      <c r="N81" s="19"/>
    </row>
    <row r="82" spans="1:14" ht="18.75" x14ac:dyDescent="0.3">
      <c r="A82" s="2" t="s">
        <v>5</v>
      </c>
      <c r="B82" s="2" t="s">
        <v>156</v>
      </c>
      <c r="C82" s="2"/>
      <c r="D82" s="2"/>
      <c r="E82" s="18" t="s">
        <v>11</v>
      </c>
      <c r="F82" s="18"/>
      <c r="G82" s="18"/>
      <c r="H82" s="18"/>
      <c r="I82" s="18"/>
      <c r="J82" s="18"/>
      <c r="K82" s="2"/>
      <c r="L82" s="2"/>
      <c r="M82" s="2"/>
    </row>
    <row r="83" spans="1:14" ht="18.75" x14ac:dyDescent="0.25">
      <c r="A83" s="4" t="s">
        <v>8</v>
      </c>
      <c r="B83" s="6" t="s">
        <v>7</v>
      </c>
      <c r="C83" s="4" t="s">
        <v>9</v>
      </c>
      <c r="D83" s="4" t="s">
        <v>10</v>
      </c>
      <c r="E83" s="4" t="s">
        <v>12</v>
      </c>
      <c r="F83" s="4" t="s">
        <v>13</v>
      </c>
      <c r="G83" s="4"/>
      <c r="H83" s="4"/>
      <c r="I83" s="4"/>
      <c r="J83" s="4"/>
      <c r="K83" s="6" t="s">
        <v>14</v>
      </c>
      <c r="L83" s="4" t="s">
        <v>15</v>
      </c>
      <c r="M83" s="4" t="s">
        <v>16</v>
      </c>
      <c r="N83" s="7" t="s">
        <v>18</v>
      </c>
    </row>
    <row r="84" spans="1:14" ht="18.75" x14ac:dyDescent="0.25">
      <c r="A84" s="4" t="s">
        <v>157</v>
      </c>
      <c r="B84" s="4" t="s">
        <v>0</v>
      </c>
      <c r="C84" s="4">
        <v>15</v>
      </c>
      <c r="D84" s="4" t="s">
        <v>136</v>
      </c>
      <c r="E84" s="4">
        <v>6</v>
      </c>
      <c r="F84" s="4">
        <v>9</v>
      </c>
      <c r="G84" s="4">
        <v>9</v>
      </c>
      <c r="H84" s="4">
        <v>8</v>
      </c>
      <c r="I84" s="4"/>
      <c r="J84" s="4"/>
      <c r="K84" s="4">
        <f>((E84+F84)/2+G84+H84+I84+J84)/3</f>
        <v>8.1666666666666661</v>
      </c>
      <c r="L84" s="4">
        <v>3</v>
      </c>
      <c r="M84" s="4">
        <f>L84*K84</f>
        <v>24.5</v>
      </c>
      <c r="N84" s="19">
        <f>M84+M85+M86</f>
        <v>45.166666666666671</v>
      </c>
    </row>
    <row r="85" spans="1:14" ht="18.75" x14ac:dyDescent="0.25">
      <c r="A85" s="4" t="s">
        <v>157</v>
      </c>
      <c r="B85" s="4" t="s">
        <v>1</v>
      </c>
      <c r="C85" s="4">
        <v>14</v>
      </c>
      <c r="D85" s="4" t="s">
        <v>137</v>
      </c>
      <c r="E85" s="4">
        <v>6</v>
      </c>
      <c r="F85" s="4">
        <v>7</v>
      </c>
      <c r="G85" s="4">
        <v>6</v>
      </c>
      <c r="H85" s="4">
        <v>6</v>
      </c>
      <c r="I85" s="4"/>
      <c r="J85" s="4"/>
      <c r="K85" s="4">
        <f>((E85+F85)/2+G85+H85+I85+J85)/3</f>
        <v>6.166666666666667</v>
      </c>
      <c r="L85" s="4">
        <v>2</v>
      </c>
      <c r="M85" s="4">
        <f t="shared" ref="M85:M86" si="16">L85*K85</f>
        <v>12.333333333333334</v>
      </c>
      <c r="N85" s="19"/>
    </row>
    <row r="86" spans="1:14" ht="18.75" x14ac:dyDescent="0.25">
      <c r="A86" s="4" t="s">
        <v>157</v>
      </c>
      <c r="B86" s="4" t="s">
        <v>2</v>
      </c>
      <c r="C86" s="4">
        <v>3</v>
      </c>
      <c r="D86" s="4" t="s">
        <v>55</v>
      </c>
      <c r="E86" s="4">
        <v>6</v>
      </c>
      <c r="F86" s="4">
        <v>10</v>
      </c>
      <c r="G86" s="4">
        <v>8</v>
      </c>
      <c r="H86" s="4">
        <v>9</v>
      </c>
      <c r="I86" s="4"/>
      <c r="J86" s="4"/>
      <c r="K86" s="4">
        <f>((E86+F86)/2+G86+H86+I86+J86)/3</f>
        <v>8.3333333333333339</v>
      </c>
      <c r="L86" s="4">
        <v>1</v>
      </c>
      <c r="M86" s="4">
        <f t="shared" si="16"/>
        <v>8.3333333333333339</v>
      </c>
      <c r="N86" s="19"/>
    </row>
    <row r="87" spans="1:14" ht="18.75" x14ac:dyDescent="0.3">
      <c r="A87" s="2" t="s">
        <v>4</v>
      </c>
      <c r="B87" s="2"/>
      <c r="C87" s="2"/>
      <c r="D87" s="2"/>
      <c r="E87" s="18" t="s">
        <v>11</v>
      </c>
      <c r="F87" s="18"/>
      <c r="G87" s="18"/>
      <c r="H87" s="18"/>
      <c r="I87" s="18"/>
      <c r="J87" s="18"/>
      <c r="K87" s="2"/>
      <c r="L87" s="2"/>
      <c r="M87" s="2"/>
    </row>
    <row r="88" spans="1:14" ht="18.75" x14ac:dyDescent="0.25">
      <c r="A88" s="4" t="s">
        <v>8</v>
      </c>
      <c r="B88" s="6" t="s">
        <v>7</v>
      </c>
      <c r="C88" s="4" t="s">
        <v>9</v>
      </c>
      <c r="D88" s="4" t="s">
        <v>10</v>
      </c>
      <c r="E88" s="4" t="s">
        <v>12</v>
      </c>
      <c r="F88" s="4" t="s">
        <v>13</v>
      </c>
      <c r="G88" s="4"/>
      <c r="H88" s="4"/>
      <c r="I88" s="4"/>
      <c r="J88" s="4"/>
      <c r="K88" s="6" t="s">
        <v>14</v>
      </c>
      <c r="L88" s="4" t="s">
        <v>15</v>
      </c>
      <c r="M88" s="4" t="s">
        <v>16</v>
      </c>
      <c r="N88" s="7" t="s">
        <v>18</v>
      </c>
    </row>
    <row r="89" spans="1:14" ht="18.75" x14ac:dyDescent="0.25">
      <c r="A89" s="4" t="s">
        <v>26</v>
      </c>
      <c r="B89" s="4" t="s">
        <v>0</v>
      </c>
      <c r="C89" s="4">
        <v>1</v>
      </c>
      <c r="D89" s="4" t="s">
        <v>35</v>
      </c>
      <c r="E89" s="4">
        <v>4</v>
      </c>
      <c r="F89" s="4">
        <v>7</v>
      </c>
      <c r="G89" s="4">
        <v>5</v>
      </c>
      <c r="H89" s="4">
        <v>7</v>
      </c>
      <c r="I89" s="4"/>
      <c r="J89" s="4"/>
      <c r="K89" s="4">
        <f>((E89+F89)/2+G89+H89+I89+J89)/3</f>
        <v>5.833333333333333</v>
      </c>
      <c r="L89" s="4">
        <v>3</v>
      </c>
      <c r="M89" s="4">
        <f>L89*K89</f>
        <v>17.5</v>
      </c>
      <c r="N89" s="19">
        <f>M89+M90+M91</f>
        <v>31.166666666666668</v>
      </c>
    </row>
    <row r="90" spans="1:14" ht="18.75" x14ac:dyDescent="0.25">
      <c r="A90" s="4" t="s">
        <v>26</v>
      </c>
      <c r="B90" s="4" t="s">
        <v>1</v>
      </c>
      <c r="C90" s="4">
        <v>15</v>
      </c>
      <c r="D90" s="4" t="s">
        <v>124</v>
      </c>
      <c r="E90" s="4">
        <v>3</v>
      </c>
      <c r="F90" s="4">
        <v>5</v>
      </c>
      <c r="G90" s="4">
        <v>4</v>
      </c>
      <c r="H90" s="4">
        <v>4</v>
      </c>
      <c r="I90" s="4"/>
      <c r="J90" s="4"/>
      <c r="K90" s="4">
        <f>((E90+F90)/2+G90+H90+I90+J90)/3</f>
        <v>4</v>
      </c>
      <c r="L90" s="4">
        <v>2</v>
      </c>
      <c r="M90" s="4">
        <f t="shared" ref="M90:M91" si="17">L90*K90</f>
        <v>8</v>
      </c>
      <c r="N90" s="19"/>
    </row>
    <row r="91" spans="1:14" ht="18.75" x14ac:dyDescent="0.25">
      <c r="A91" s="4" t="s">
        <v>26</v>
      </c>
      <c r="B91" s="4" t="s">
        <v>2</v>
      </c>
      <c r="C91" s="4">
        <v>11</v>
      </c>
      <c r="D91" s="4" t="s">
        <v>36</v>
      </c>
      <c r="E91" s="4">
        <v>4</v>
      </c>
      <c r="F91" s="4">
        <v>6</v>
      </c>
      <c r="G91" s="4">
        <v>6</v>
      </c>
      <c r="H91" s="4">
        <v>6</v>
      </c>
      <c r="I91" s="4"/>
      <c r="J91" s="4"/>
      <c r="K91" s="4">
        <f>((E91+F91)/2+G91+H91+I91+J91)/3</f>
        <v>5.666666666666667</v>
      </c>
      <c r="L91" s="4">
        <v>1</v>
      </c>
      <c r="M91" s="4">
        <f t="shared" si="17"/>
        <v>5.666666666666667</v>
      </c>
      <c r="N91" s="19"/>
    </row>
    <row r="92" spans="1:14" ht="18.75" x14ac:dyDescent="0.3">
      <c r="A92" s="2" t="s">
        <v>4</v>
      </c>
      <c r="B92" s="2"/>
      <c r="C92" s="2"/>
      <c r="D92" s="2"/>
      <c r="E92" s="18" t="s">
        <v>11</v>
      </c>
      <c r="F92" s="18"/>
      <c r="G92" s="18"/>
      <c r="H92" s="18"/>
      <c r="I92" s="18"/>
      <c r="J92" s="18"/>
      <c r="K92" s="2"/>
      <c r="L92" s="2"/>
      <c r="M92" s="2"/>
    </row>
    <row r="93" spans="1:14" ht="18.75" x14ac:dyDescent="0.25">
      <c r="A93" s="4" t="s">
        <v>8</v>
      </c>
      <c r="B93" s="6" t="s">
        <v>7</v>
      </c>
      <c r="C93" s="4" t="s">
        <v>9</v>
      </c>
      <c r="D93" s="4" t="s">
        <v>10</v>
      </c>
      <c r="E93" s="4" t="s">
        <v>12</v>
      </c>
      <c r="F93" s="4" t="s">
        <v>13</v>
      </c>
      <c r="G93" s="4"/>
      <c r="H93" s="4"/>
      <c r="I93" s="4"/>
      <c r="J93" s="4"/>
      <c r="K93" s="6" t="s">
        <v>14</v>
      </c>
      <c r="L93" s="4" t="s">
        <v>15</v>
      </c>
      <c r="M93" s="4" t="s">
        <v>16</v>
      </c>
      <c r="N93" s="7" t="s">
        <v>18</v>
      </c>
    </row>
    <row r="94" spans="1:14" ht="18.75" x14ac:dyDescent="0.25">
      <c r="A94" s="4" t="s">
        <v>25</v>
      </c>
      <c r="B94" s="4" t="s">
        <v>0</v>
      </c>
      <c r="C94" s="4">
        <v>11</v>
      </c>
      <c r="D94" s="4" t="s">
        <v>158</v>
      </c>
      <c r="E94" s="4">
        <v>5</v>
      </c>
      <c r="F94" s="4">
        <v>6</v>
      </c>
      <c r="G94" s="4">
        <v>5</v>
      </c>
      <c r="H94" s="4">
        <v>6</v>
      </c>
      <c r="I94" s="4"/>
      <c r="J94" s="4"/>
      <c r="K94" s="4">
        <f>((E94+F94)/2+G94+H94+I94+J94)/3</f>
        <v>5.5</v>
      </c>
      <c r="L94" s="4">
        <v>3</v>
      </c>
      <c r="M94" s="4">
        <f>L94*K94</f>
        <v>16.5</v>
      </c>
      <c r="N94" s="19">
        <f>M94+M95+M96</f>
        <v>31.5</v>
      </c>
    </row>
    <row r="95" spans="1:14" ht="18.75" x14ac:dyDescent="0.25">
      <c r="A95" s="4" t="s">
        <v>25</v>
      </c>
      <c r="B95" s="4" t="s">
        <v>1</v>
      </c>
      <c r="C95" s="4">
        <v>1</v>
      </c>
      <c r="D95" s="4" t="s">
        <v>158</v>
      </c>
      <c r="E95" s="4">
        <v>5</v>
      </c>
      <c r="F95" s="4">
        <v>5</v>
      </c>
      <c r="G95" s="4">
        <v>5</v>
      </c>
      <c r="H95" s="4">
        <v>5</v>
      </c>
      <c r="I95" s="4"/>
      <c r="J95" s="4"/>
      <c r="K95" s="4">
        <f>((E95+F95)/2+G95+H95+I95+J95)/3</f>
        <v>5</v>
      </c>
      <c r="L95" s="4">
        <v>2</v>
      </c>
      <c r="M95" s="4">
        <f t="shared" ref="M95:M96" si="18">L95*K95</f>
        <v>10</v>
      </c>
      <c r="N95" s="19"/>
    </row>
    <row r="96" spans="1:14" ht="18.75" x14ac:dyDescent="0.25">
      <c r="A96" s="4" t="s">
        <v>25</v>
      </c>
      <c r="B96" s="4" t="s">
        <v>2</v>
      </c>
      <c r="C96" s="4">
        <v>15</v>
      </c>
      <c r="D96" s="4" t="s">
        <v>159</v>
      </c>
      <c r="E96" s="4">
        <v>4</v>
      </c>
      <c r="F96" s="4">
        <v>6</v>
      </c>
      <c r="G96" s="4">
        <v>5</v>
      </c>
      <c r="H96" s="4">
        <v>5</v>
      </c>
      <c r="I96" s="4"/>
      <c r="J96" s="4"/>
      <c r="K96" s="4">
        <f>((E96+F96)/2+G96+H96+I96+J96)/3</f>
        <v>5</v>
      </c>
      <c r="L96" s="4">
        <v>1</v>
      </c>
      <c r="M96" s="4">
        <f t="shared" si="18"/>
        <v>5</v>
      </c>
      <c r="N96" s="19"/>
    </row>
    <row r="97" spans="1:14" ht="18.75" x14ac:dyDescent="0.3">
      <c r="A97" s="2" t="s">
        <v>4</v>
      </c>
      <c r="B97" s="2"/>
      <c r="C97" s="2"/>
      <c r="D97" s="2"/>
      <c r="E97" s="18" t="s">
        <v>11</v>
      </c>
      <c r="F97" s="18"/>
      <c r="G97" s="18"/>
      <c r="H97" s="18"/>
      <c r="I97" s="18"/>
      <c r="J97" s="18"/>
      <c r="K97" s="2"/>
      <c r="L97" s="2"/>
      <c r="M97" s="2"/>
    </row>
    <row r="98" spans="1:14" ht="18.75" x14ac:dyDescent="0.25">
      <c r="A98" s="4" t="s">
        <v>8</v>
      </c>
      <c r="B98" s="6" t="s">
        <v>7</v>
      </c>
      <c r="C98" s="4" t="s">
        <v>9</v>
      </c>
      <c r="D98" s="4" t="s">
        <v>10</v>
      </c>
      <c r="E98" s="4" t="s">
        <v>12</v>
      </c>
      <c r="F98" s="4" t="s">
        <v>13</v>
      </c>
      <c r="G98" s="4"/>
      <c r="H98" s="4"/>
      <c r="I98" s="4"/>
      <c r="J98" s="4"/>
      <c r="K98" s="6" t="s">
        <v>14</v>
      </c>
      <c r="L98" s="4" t="s">
        <v>15</v>
      </c>
      <c r="M98" s="4" t="s">
        <v>16</v>
      </c>
      <c r="N98" s="7" t="s">
        <v>18</v>
      </c>
    </row>
    <row r="99" spans="1:14" ht="18.75" x14ac:dyDescent="0.25">
      <c r="A99" s="4" t="s">
        <v>112</v>
      </c>
      <c r="B99" s="4" t="s">
        <v>0</v>
      </c>
      <c r="C99" s="4">
        <v>15</v>
      </c>
      <c r="D99" s="4" t="s">
        <v>160</v>
      </c>
      <c r="E99" s="4">
        <v>5</v>
      </c>
      <c r="F99" s="4">
        <v>7</v>
      </c>
      <c r="G99" s="4">
        <v>5</v>
      </c>
      <c r="H99" s="4">
        <v>6</v>
      </c>
      <c r="I99" s="4"/>
      <c r="J99" s="4"/>
      <c r="K99" s="4">
        <f>((E99+F99)/2+G99+H99+I99+J99)/3</f>
        <v>5.666666666666667</v>
      </c>
      <c r="L99" s="4">
        <v>3</v>
      </c>
      <c r="M99" s="4">
        <f>L99*K99</f>
        <v>17</v>
      </c>
      <c r="N99" s="19">
        <f>M99+M100+M101</f>
        <v>33.833333333333336</v>
      </c>
    </row>
    <row r="100" spans="1:14" ht="18.75" x14ac:dyDescent="0.25">
      <c r="A100" s="4" t="s">
        <v>112</v>
      </c>
      <c r="B100" s="4" t="s">
        <v>1</v>
      </c>
      <c r="C100" s="4">
        <v>11</v>
      </c>
      <c r="D100" s="4" t="s">
        <v>92</v>
      </c>
      <c r="E100" s="4">
        <v>5</v>
      </c>
      <c r="F100" s="4">
        <v>6</v>
      </c>
      <c r="G100" s="4">
        <v>5</v>
      </c>
      <c r="H100" s="4">
        <v>6</v>
      </c>
      <c r="I100" s="4"/>
      <c r="J100" s="4"/>
      <c r="K100" s="4">
        <f>((E100+F100)/2+G100+H100+I100+J100)/3</f>
        <v>5.5</v>
      </c>
      <c r="L100" s="4">
        <v>2</v>
      </c>
      <c r="M100" s="4">
        <f t="shared" ref="M100:M101" si="19">L100*K100</f>
        <v>11</v>
      </c>
      <c r="N100" s="19"/>
    </row>
    <row r="101" spans="1:14" ht="18.75" x14ac:dyDescent="0.25">
      <c r="A101" s="4" t="s">
        <v>112</v>
      </c>
      <c r="B101" s="4" t="s">
        <v>2</v>
      </c>
      <c r="C101" s="4">
        <v>1</v>
      </c>
      <c r="D101" s="4" t="s">
        <v>35</v>
      </c>
      <c r="E101" s="4">
        <v>4</v>
      </c>
      <c r="F101" s="4">
        <v>7</v>
      </c>
      <c r="G101" s="4">
        <v>5</v>
      </c>
      <c r="H101" s="4">
        <v>7</v>
      </c>
      <c r="I101" s="4"/>
      <c r="J101" s="4"/>
      <c r="K101" s="4">
        <f>((E101+F101)/2+G101+H101+I101+J101)/3</f>
        <v>5.833333333333333</v>
      </c>
      <c r="L101" s="4">
        <v>1</v>
      </c>
      <c r="M101" s="4">
        <f t="shared" si="19"/>
        <v>5.833333333333333</v>
      </c>
      <c r="N101" s="19"/>
    </row>
  </sheetData>
  <mergeCells count="41">
    <mergeCell ref="E27:J27"/>
    <mergeCell ref="A1:M1"/>
    <mergeCell ref="E2:J2"/>
    <mergeCell ref="N4:N6"/>
    <mergeCell ref="E7:J7"/>
    <mergeCell ref="N9:N11"/>
    <mergeCell ref="E12:J12"/>
    <mergeCell ref="N14:N16"/>
    <mergeCell ref="E17:J17"/>
    <mergeCell ref="N19:N21"/>
    <mergeCell ref="E22:J22"/>
    <mergeCell ref="N24:N26"/>
    <mergeCell ref="E57:J57"/>
    <mergeCell ref="N29:N31"/>
    <mergeCell ref="E32:J32"/>
    <mergeCell ref="N34:N36"/>
    <mergeCell ref="E37:J37"/>
    <mergeCell ref="N39:N41"/>
    <mergeCell ref="E42:J42"/>
    <mergeCell ref="N44:N46"/>
    <mergeCell ref="E47:J47"/>
    <mergeCell ref="N49:N51"/>
    <mergeCell ref="E52:J52"/>
    <mergeCell ref="N54:N56"/>
    <mergeCell ref="E87:J87"/>
    <mergeCell ref="N59:N61"/>
    <mergeCell ref="E62:J62"/>
    <mergeCell ref="N64:N66"/>
    <mergeCell ref="E67:J67"/>
    <mergeCell ref="N69:N71"/>
    <mergeCell ref="E72:J72"/>
    <mergeCell ref="N74:N76"/>
    <mergeCell ref="E77:J77"/>
    <mergeCell ref="N79:N81"/>
    <mergeCell ref="E82:J82"/>
    <mergeCell ref="N84:N86"/>
    <mergeCell ref="N89:N91"/>
    <mergeCell ref="E92:J92"/>
    <mergeCell ref="N94:N96"/>
    <mergeCell ref="E97:J97"/>
    <mergeCell ref="N99:N101"/>
  </mergeCells>
  <pageMargins left="0.70866141732283472" right="0.70866141732283472" top="0.74803149606299213" bottom="0.74803149606299213" header="0.31496062992125984" footer="0.31496062992125984"/>
  <pageSetup paperSize="9" scale="62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1"/>
  <sheetViews>
    <sheetView zoomScale="80" zoomScaleNormal="80" workbookViewId="0">
      <selection activeCell="P3" sqref="P3:AB6"/>
    </sheetView>
  </sheetViews>
  <sheetFormatPr defaultRowHeight="15" x14ac:dyDescent="0.25"/>
  <cols>
    <col min="1" max="1" width="15.140625" customWidth="1"/>
    <col min="2" max="2" width="5.42578125" customWidth="1"/>
    <col min="3" max="3" width="8.140625" customWidth="1"/>
    <col min="4" max="4" width="19.85546875" customWidth="1"/>
    <col min="5" max="10" width="5.85546875" customWidth="1"/>
    <col min="11" max="11" width="8" customWidth="1"/>
    <col min="12" max="13" width="7.85546875" customWidth="1"/>
    <col min="15" max="15" width="8.42578125" customWidth="1"/>
  </cols>
  <sheetData>
    <row r="1" spans="1:14" ht="18.75" x14ac:dyDescent="0.3">
      <c r="A1" s="20" t="s">
        <v>191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8.75" x14ac:dyDescent="0.3">
      <c r="A2" s="2" t="s">
        <v>189</v>
      </c>
      <c r="B2" s="2" t="s">
        <v>190</v>
      </c>
      <c r="C2" s="2" t="s">
        <v>189</v>
      </c>
      <c r="D2" s="2"/>
      <c r="E2" s="18" t="s">
        <v>11</v>
      </c>
      <c r="F2" s="18"/>
      <c r="G2" s="18"/>
      <c r="H2" s="18"/>
      <c r="I2" s="18"/>
      <c r="J2" s="18"/>
      <c r="K2" s="2"/>
      <c r="L2" s="2"/>
      <c r="M2" s="2"/>
    </row>
    <row r="3" spans="1:14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6" t="s">
        <v>14</v>
      </c>
      <c r="L3" s="4" t="s">
        <v>15</v>
      </c>
      <c r="M3" s="4" t="s">
        <v>16</v>
      </c>
      <c r="N3" s="7" t="s">
        <v>18</v>
      </c>
    </row>
    <row r="4" spans="1:14" ht="18.75" x14ac:dyDescent="0.25">
      <c r="A4" s="4" t="s">
        <v>33</v>
      </c>
      <c r="B4" s="4" t="s">
        <v>0</v>
      </c>
      <c r="C4" s="4">
        <v>12</v>
      </c>
      <c r="D4" s="4" t="s">
        <v>111</v>
      </c>
      <c r="E4" s="4">
        <v>4</v>
      </c>
      <c r="F4" s="4">
        <v>7</v>
      </c>
      <c r="G4" s="4">
        <v>4</v>
      </c>
      <c r="H4" s="4">
        <v>5</v>
      </c>
      <c r="I4" s="4">
        <v>6</v>
      </c>
      <c r="J4" s="4"/>
      <c r="K4" s="4">
        <f>((E4+F4)/2+G4+H4+I4+J4)/4</f>
        <v>5.125</v>
      </c>
      <c r="L4" s="14">
        <v>2.6</v>
      </c>
      <c r="M4" s="4">
        <f>L4*K4</f>
        <v>13.325000000000001</v>
      </c>
      <c r="N4" s="19">
        <f>M4+M5+M6</f>
        <v>31.325000000000003</v>
      </c>
    </row>
    <row r="5" spans="1:14" ht="18.75" x14ac:dyDescent="0.25">
      <c r="A5" s="4" t="s">
        <v>33</v>
      </c>
      <c r="B5" s="4" t="s">
        <v>1</v>
      </c>
      <c r="C5" s="4">
        <v>15</v>
      </c>
      <c r="D5" s="4" t="s">
        <v>79</v>
      </c>
      <c r="E5" s="4">
        <v>7</v>
      </c>
      <c r="F5" s="4">
        <v>5</v>
      </c>
      <c r="G5" s="4">
        <v>6</v>
      </c>
      <c r="H5" s="4">
        <v>6</v>
      </c>
      <c r="I5" s="4">
        <v>7</v>
      </c>
      <c r="J5" s="4"/>
      <c r="K5" s="4">
        <f>((E5+F5)/2+G5+H5+I5+J5)/4</f>
        <v>6.25</v>
      </c>
      <c r="L5" s="4">
        <v>2</v>
      </c>
      <c r="M5" s="4">
        <f>L5*K5</f>
        <v>12.5</v>
      </c>
      <c r="N5" s="19"/>
    </row>
    <row r="6" spans="1:14" ht="18.75" x14ac:dyDescent="0.25">
      <c r="A6" s="4" t="s">
        <v>33</v>
      </c>
      <c r="B6" s="4" t="s">
        <v>2</v>
      </c>
      <c r="C6" s="4">
        <v>17</v>
      </c>
      <c r="D6" s="4" t="s">
        <v>79</v>
      </c>
      <c r="E6" s="4">
        <v>5</v>
      </c>
      <c r="F6" s="4">
        <v>7</v>
      </c>
      <c r="G6" s="4">
        <v>5</v>
      </c>
      <c r="H6" s="4">
        <v>6</v>
      </c>
      <c r="I6" s="4">
        <v>5</v>
      </c>
      <c r="J6" s="4"/>
      <c r="K6" s="4">
        <f>((E6+F6)/2+G6+H6+I6+J6)/4</f>
        <v>5.5</v>
      </c>
      <c r="L6" s="4">
        <v>1</v>
      </c>
      <c r="M6" s="4">
        <f>L6*K6</f>
        <v>5.5</v>
      </c>
      <c r="N6" s="19"/>
    </row>
    <row r="7" spans="1:14" ht="18.75" x14ac:dyDescent="0.3">
      <c r="A7" s="2" t="s">
        <v>3</v>
      </c>
      <c r="B7" s="2">
        <v>16</v>
      </c>
      <c r="C7" s="2"/>
      <c r="D7" s="2"/>
      <c r="E7" s="18" t="s">
        <v>11</v>
      </c>
      <c r="F7" s="18"/>
      <c r="G7" s="18"/>
      <c r="H7" s="18"/>
      <c r="I7" s="18"/>
      <c r="J7" s="18"/>
      <c r="K7" s="2"/>
      <c r="L7" s="2"/>
      <c r="M7" s="2"/>
    </row>
    <row r="8" spans="1:14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6" t="s">
        <v>14</v>
      </c>
      <c r="L8" s="4" t="s">
        <v>15</v>
      </c>
      <c r="M8" s="4" t="s">
        <v>16</v>
      </c>
      <c r="N8" s="7" t="s">
        <v>18</v>
      </c>
    </row>
    <row r="9" spans="1:14" ht="18.75" x14ac:dyDescent="0.25">
      <c r="A9" s="4" t="s">
        <v>66</v>
      </c>
      <c r="B9" s="4" t="s">
        <v>0</v>
      </c>
      <c r="C9" s="4">
        <v>3</v>
      </c>
      <c r="D9" s="4" t="s">
        <v>68</v>
      </c>
      <c r="E9" s="4">
        <v>2</v>
      </c>
      <c r="F9" s="4">
        <v>7</v>
      </c>
      <c r="G9" s="4">
        <v>7</v>
      </c>
      <c r="H9" s="4">
        <v>6</v>
      </c>
      <c r="I9" s="4">
        <v>6</v>
      </c>
      <c r="J9" s="4"/>
      <c r="K9" s="4">
        <f>((E9+F9)/2+G9+H9+I9+J9)/4</f>
        <v>5.875</v>
      </c>
      <c r="L9" s="4">
        <v>3</v>
      </c>
      <c r="M9" s="4">
        <f>L9*K9</f>
        <v>17.625</v>
      </c>
      <c r="N9" s="19">
        <f>M9+M10+M11</f>
        <v>35.375</v>
      </c>
    </row>
    <row r="10" spans="1:14" ht="18.75" x14ac:dyDescent="0.25">
      <c r="A10" s="4" t="s">
        <v>66</v>
      </c>
      <c r="B10" s="4" t="s">
        <v>1</v>
      </c>
      <c r="C10" s="4">
        <v>12</v>
      </c>
      <c r="D10" s="4" t="s">
        <v>68</v>
      </c>
      <c r="E10" s="4">
        <v>5</v>
      </c>
      <c r="F10" s="4">
        <v>7</v>
      </c>
      <c r="G10" s="4">
        <v>6</v>
      </c>
      <c r="H10" s="4">
        <v>6</v>
      </c>
      <c r="I10" s="4">
        <v>6</v>
      </c>
      <c r="J10" s="4"/>
      <c r="K10" s="4">
        <f>((E10+F10)/2+G10+H10+I10+J10)/4</f>
        <v>6</v>
      </c>
      <c r="L10" s="4">
        <v>2</v>
      </c>
      <c r="M10" s="4">
        <f>L10*K10</f>
        <v>12</v>
      </c>
      <c r="N10" s="19"/>
    </row>
    <row r="11" spans="1:14" ht="18.75" x14ac:dyDescent="0.25">
      <c r="A11" s="4" t="s">
        <v>66</v>
      </c>
      <c r="B11" s="4" t="s">
        <v>2</v>
      </c>
      <c r="C11" s="4">
        <v>17</v>
      </c>
      <c r="D11" s="4" t="s">
        <v>125</v>
      </c>
      <c r="E11" s="4">
        <v>5</v>
      </c>
      <c r="F11" s="4">
        <v>7</v>
      </c>
      <c r="G11" s="4">
        <v>5</v>
      </c>
      <c r="H11" s="4">
        <v>5</v>
      </c>
      <c r="I11" s="4">
        <v>7</v>
      </c>
      <c r="J11" s="4"/>
      <c r="K11" s="4">
        <f>((E11+F11)/2+G11+H11+I11+J11)/4</f>
        <v>5.75</v>
      </c>
      <c r="L11" s="4">
        <v>1</v>
      </c>
      <c r="M11" s="4">
        <f>L11*K11</f>
        <v>5.75</v>
      </c>
      <c r="N11" s="19"/>
    </row>
    <row r="12" spans="1:14" ht="18.75" x14ac:dyDescent="0.3">
      <c r="A12" s="2" t="s">
        <v>3</v>
      </c>
      <c r="B12" s="2"/>
      <c r="C12" s="2"/>
      <c r="D12" s="2"/>
      <c r="E12" s="18" t="s">
        <v>11</v>
      </c>
      <c r="F12" s="18"/>
      <c r="G12" s="18"/>
      <c r="H12" s="18"/>
      <c r="I12" s="18"/>
      <c r="J12" s="18"/>
      <c r="K12" s="2"/>
      <c r="L12" s="2"/>
      <c r="M12" s="2"/>
    </row>
    <row r="13" spans="1:14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6" t="s">
        <v>14</v>
      </c>
      <c r="L13" s="4" t="s">
        <v>15</v>
      </c>
      <c r="M13" s="4" t="s">
        <v>16</v>
      </c>
      <c r="N13" s="7" t="s">
        <v>18</v>
      </c>
    </row>
    <row r="14" spans="1:14" ht="18.75" x14ac:dyDescent="0.25">
      <c r="A14" s="4" t="s">
        <v>73</v>
      </c>
      <c r="B14" s="4" t="s">
        <v>0</v>
      </c>
      <c r="C14" s="4">
        <v>17</v>
      </c>
      <c r="D14" s="4" t="s">
        <v>75</v>
      </c>
      <c r="E14" s="4">
        <v>4</v>
      </c>
      <c r="F14" s="4">
        <v>6</v>
      </c>
      <c r="G14" s="4">
        <v>5</v>
      </c>
      <c r="H14" s="4">
        <v>5</v>
      </c>
      <c r="I14" s="4">
        <v>4</v>
      </c>
      <c r="J14" s="4"/>
      <c r="K14" s="4">
        <f>((E14+F14)/2+G14+H14+I14+J14)/4</f>
        <v>4.75</v>
      </c>
      <c r="L14" s="4">
        <v>3</v>
      </c>
      <c r="M14" s="4">
        <f>L14*K14</f>
        <v>14.25</v>
      </c>
      <c r="N14" s="19">
        <f>M14+M15+M16</f>
        <v>31.375</v>
      </c>
    </row>
    <row r="15" spans="1:14" ht="18.75" x14ac:dyDescent="0.25">
      <c r="A15" s="4" t="s">
        <v>73</v>
      </c>
      <c r="B15" s="4" t="s">
        <v>1</v>
      </c>
      <c r="C15" s="4">
        <v>3</v>
      </c>
      <c r="D15" s="4" t="s">
        <v>74</v>
      </c>
      <c r="E15" s="4">
        <v>4</v>
      </c>
      <c r="F15" s="4">
        <v>6</v>
      </c>
      <c r="G15" s="4">
        <v>6</v>
      </c>
      <c r="H15" s="4">
        <v>5</v>
      </c>
      <c r="I15" s="4">
        <v>6</v>
      </c>
      <c r="J15" s="4"/>
      <c r="K15" s="4">
        <f>((E15+F15)/2+G15+H15+I15+J15)/4</f>
        <v>5.5</v>
      </c>
      <c r="L15" s="4">
        <v>2</v>
      </c>
      <c r="M15" s="4">
        <f>L15*K15</f>
        <v>11</v>
      </c>
      <c r="N15" s="19"/>
    </row>
    <row r="16" spans="1:14" ht="18.75" x14ac:dyDescent="0.25">
      <c r="A16" s="4" t="s">
        <v>73</v>
      </c>
      <c r="B16" s="4" t="s">
        <v>2</v>
      </c>
      <c r="C16" s="4">
        <v>12</v>
      </c>
      <c r="D16" s="4" t="s">
        <v>75</v>
      </c>
      <c r="E16" s="4">
        <v>5</v>
      </c>
      <c r="F16" s="4">
        <v>8</v>
      </c>
      <c r="G16" s="4">
        <v>6</v>
      </c>
      <c r="H16" s="4">
        <v>5</v>
      </c>
      <c r="I16" s="4">
        <v>7</v>
      </c>
      <c r="J16" s="4"/>
      <c r="K16" s="4">
        <f>((E16+F16)/2+G16+H16+I16+J16)/4</f>
        <v>6.125</v>
      </c>
      <c r="L16" s="4">
        <v>1</v>
      </c>
      <c r="M16" s="4">
        <f>L16*K16</f>
        <v>6.125</v>
      </c>
      <c r="N16" s="19"/>
    </row>
    <row r="17" spans="1:14" ht="18.75" x14ac:dyDescent="0.3">
      <c r="A17" s="2" t="s">
        <v>3</v>
      </c>
      <c r="B17" s="2"/>
      <c r="C17" s="2"/>
      <c r="D17" s="2"/>
      <c r="E17" s="18" t="s">
        <v>11</v>
      </c>
      <c r="F17" s="18"/>
      <c r="G17" s="18"/>
      <c r="H17" s="18"/>
      <c r="I17" s="18"/>
      <c r="J17" s="18"/>
      <c r="K17" s="2"/>
      <c r="L17" s="2"/>
      <c r="M17" s="2"/>
    </row>
    <row r="18" spans="1:14" ht="18.75" x14ac:dyDescent="0.25">
      <c r="A18" s="4" t="s">
        <v>8</v>
      </c>
      <c r="B18" s="6" t="s">
        <v>7</v>
      </c>
      <c r="C18" s="4" t="s">
        <v>9</v>
      </c>
      <c r="D18" s="4" t="s">
        <v>10</v>
      </c>
      <c r="E18" s="4" t="s">
        <v>12</v>
      </c>
      <c r="F18" s="4" t="s">
        <v>13</v>
      </c>
      <c r="G18" s="4"/>
      <c r="H18" s="4"/>
      <c r="I18" s="4"/>
      <c r="J18" s="4"/>
      <c r="K18" s="6" t="s">
        <v>14</v>
      </c>
      <c r="L18" s="4" t="s">
        <v>15</v>
      </c>
      <c r="M18" s="4" t="s">
        <v>16</v>
      </c>
      <c r="N18" s="7" t="s">
        <v>18</v>
      </c>
    </row>
    <row r="19" spans="1:14" ht="18.75" x14ac:dyDescent="0.25">
      <c r="A19" s="4" t="s">
        <v>155</v>
      </c>
      <c r="B19" s="4" t="s">
        <v>0</v>
      </c>
      <c r="C19" s="4">
        <v>15</v>
      </c>
      <c r="D19" s="4" t="s">
        <v>60</v>
      </c>
      <c r="E19" s="4">
        <v>6</v>
      </c>
      <c r="F19" s="4">
        <v>7</v>
      </c>
      <c r="G19" s="4">
        <v>6</v>
      </c>
      <c r="H19" s="4">
        <v>6</v>
      </c>
      <c r="I19" s="4">
        <v>6</v>
      </c>
      <c r="J19" s="4"/>
      <c r="K19" s="4">
        <f>((E19+F19)/2+G19+H19+I19+J19)/4</f>
        <v>6.125</v>
      </c>
      <c r="L19" s="4">
        <v>3</v>
      </c>
      <c r="M19" s="4">
        <f>L19*K19</f>
        <v>18.375</v>
      </c>
      <c r="N19" s="19">
        <f>M19+M20+M21</f>
        <v>34.25</v>
      </c>
    </row>
    <row r="20" spans="1:14" ht="18.75" x14ac:dyDescent="0.25">
      <c r="A20" s="4" t="s">
        <v>155</v>
      </c>
      <c r="B20" s="4" t="s">
        <v>1</v>
      </c>
      <c r="C20" s="4">
        <v>17</v>
      </c>
      <c r="D20" s="4" t="s">
        <v>188</v>
      </c>
      <c r="E20" s="4">
        <v>5</v>
      </c>
      <c r="F20" s="4">
        <v>6</v>
      </c>
      <c r="G20" s="4">
        <v>5</v>
      </c>
      <c r="H20" s="4">
        <v>5</v>
      </c>
      <c r="I20" s="4">
        <v>5</v>
      </c>
      <c r="J20" s="4"/>
      <c r="K20" s="4">
        <f>((E20+F20)/2+G20+H20+I20+J20)/4</f>
        <v>5.125</v>
      </c>
      <c r="L20" s="4">
        <v>2</v>
      </c>
      <c r="M20" s="4">
        <f>L20*K20</f>
        <v>10.25</v>
      </c>
      <c r="N20" s="19"/>
    </row>
    <row r="21" spans="1:14" ht="18.75" x14ac:dyDescent="0.25">
      <c r="A21" s="4" t="s">
        <v>155</v>
      </c>
      <c r="B21" s="4" t="s">
        <v>2</v>
      </c>
      <c r="C21" s="4">
        <v>3</v>
      </c>
      <c r="D21" s="4" t="s">
        <v>58</v>
      </c>
      <c r="E21" s="4">
        <v>4</v>
      </c>
      <c r="F21" s="4">
        <v>7</v>
      </c>
      <c r="G21" s="4">
        <v>7</v>
      </c>
      <c r="H21" s="4">
        <v>5</v>
      </c>
      <c r="I21" s="4">
        <v>5</v>
      </c>
      <c r="J21" s="4"/>
      <c r="K21" s="4">
        <f>((E21+F21)/2+G21+H21+I21+J21)/4</f>
        <v>5.625</v>
      </c>
      <c r="L21" s="4">
        <v>1</v>
      </c>
      <c r="M21" s="4">
        <f>L21*K21</f>
        <v>5.625</v>
      </c>
      <c r="N21" s="19"/>
    </row>
    <row r="22" spans="1:14" ht="18.75" x14ac:dyDescent="0.3">
      <c r="A22" s="2" t="s">
        <v>50</v>
      </c>
      <c r="B22" s="2">
        <v>10</v>
      </c>
      <c r="C22" s="2"/>
      <c r="D22" s="2"/>
      <c r="E22" s="18" t="s">
        <v>11</v>
      </c>
      <c r="F22" s="18"/>
      <c r="G22" s="18"/>
      <c r="H22" s="18"/>
      <c r="I22" s="18"/>
      <c r="J22" s="18"/>
      <c r="K22" s="2"/>
      <c r="L22" s="2"/>
      <c r="M22" s="2"/>
    </row>
    <row r="23" spans="1:14" ht="18.75" x14ac:dyDescent="0.25">
      <c r="A23" s="4" t="s">
        <v>8</v>
      </c>
      <c r="B23" s="6" t="s">
        <v>7</v>
      </c>
      <c r="C23" s="4" t="s">
        <v>9</v>
      </c>
      <c r="D23" s="4" t="s">
        <v>10</v>
      </c>
      <c r="E23" s="4" t="s">
        <v>12</v>
      </c>
      <c r="F23" s="4" t="s">
        <v>13</v>
      </c>
      <c r="G23" s="4"/>
      <c r="H23" s="4"/>
      <c r="I23" s="4"/>
      <c r="J23" s="4"/>
      <c r="K23" s="6" t="s">
        <v>14</v>
      </c>
      <c r="L23" s="4" t="s">
        <v>15</v>
      </c>
      <c r="M23" s="4" t="s">
        <v>16</v>
      </c>
      <c r="N23" s="7" t="s">
        <v>18</v>
      </c>
    </row>
    <row r="24" spans="1:14" ht="18.75" x14ac:dyDescent="0.25">
      <c r="A24" s="4" t="s">
        <v>112</v>
      </c>
      <c r="B24" s="4" t="s">
        <v>0</v>
      </c>
      <c r="C24" s="4">
        <v>8</v>
      </c>
      <c r="D24" s="4" t="s">
        <v>187</v>
      </c>
      <c r="E24" s="4">
        <v>6</v>
      </c>
      <c r="F24" s="4">
        <v>8</v>
      </c>
      <c r="G24" s="4">
        <v>7</v>
      </c>
      <c r="H24" s="4">
        <v>8</v>
      </c>
      <c r="I24" s="4">
        <v>8</v>
      </c>
      <c r="J24" s="4"/>
      <c r="K24" s="4">
        <f>((E24+F24)/2+G24+H24+I24+J24)/4</f>
        <v>7.5</v>
      </c>
      <c r="L24" s="4">
        <v>3</v>
      </c>
      <c r="M24" s="4">
        <f>L24*K24</f>
        <v>22.5</v>
      </c>
      <c r="N24" s="19">
        <f>M24+M25+M26</f>
        <v>41.375</v>
      </c>
    </row>
    <row r="25" spans="1:14" ht="18.75" x14ac:dyDescent="0.25">
      <c r="A25" s="4" t="s">
        <v>112</v>
      </c>
      <c r="B25" s="4" t="s">
        <v>1</v>
      </c>
      <c r="C25" s="4">
        <v>13</v>
      </c>
      <c r="D25" s="4" t="s">
        <v>90</v>
      </c>
      <c r="E25" s="4">
        <v>6</v>
      </c>
      <c r="F25" s="4">
        <v>8</v>
      </c>
      <c r="G25" s="4">
        <v>6</v>
      </c>
      <c r="H25" s="4">
        <v>7</v>
      </c>
      <c r="I25" s="4">
        <v>6</v>
      </c>
      <c r="J25" s="4"/>
      <c r="K25" s="4">
        <f>((E25+F25)/2+G25+H25+I25+J25)/4</f>
        <v>6.5</v>
      </c>
      <c r="L25" s="4">
        <v>2</v>
      </c>
      <c r="M25" s="4">
        <f>L25*K25</f>
        <v>13</v>
      </c>
      <c r="N25" s="19"/>
    </row>
    <row r="26" spans="1:14" ht="18.75" x14ac:dyDescent="0.25">
      <c r="A26" s="4" t="s">
        <v>112</v>
      </c>
      <c r="B26" s="4" t="s">
        <v>2</v>
      </c>
      <c r="C26" s="4">
        <v>4</v>
      </c>
      <c r="D26" s="4" t="s">
        <v>91</v>
      </c>
      <c r="E26" s="4">
        <v>5</v>
      </c>
      <c r="F26" s="4">
        <v>8</v>
      </c>
      <c r="G26" s="4">
        <v>5</v>
      </c>
      <c r="H26" s="4">
        <v>6</v>
      </c>
      <c r="I26" s="4">
        <v>6</v>
      </c>
      <c r="J26" s="4"/>
      <c r="K26" s="4">
        <f>((E26+F26)/2+G26+H26+I26+J26)/4</f>
        <v>5.875</v>
      </c>
      <c r="L26" s="4">
        <v>1</v>
      </c>
      <c r="M26" s="4">
        <f>L26*K26</f>
        <v>5.875</v>
      </c>
      <c r="N26" s="19"/>
    </row>
    <row r="27" spans="1:14" ht="18.75" x14ac:dyDescent="0.3">
      <c r="A27" s="2" t="s">
        <v>50</v>
      </c>
      <c r="B27" s="2"/>
      <c r="C27" s="2"/>
      <c r="D27" s="2"/>
      <c r="E27" s="18" t="s">
        <v>11</v>
      </c>
      <c r="F27" s="18"/>
      <c r="G27" s="18"/>
      <c r="H27" s="18"/>
      <c r="I27" s="18"/>
      <c r="J27" s="18"/>
      <c r="K27" s="2"/>
      <c r="L27" s="2"/>
      <c r="M27" s="2"/>
    </row>
    <row r="28" spans="1:14" ht="18.75" x14ac:dyDescent="0.25">
      <c r="A28" s="4" t="s">
        <v>8</v>
      </c>
      <c r="B28" s="6" t="s">
        <v>7</v>
      </c>
      <c r="C28" s="4" t="s">
        <v>9</v>
      </c>
      <c r="D28" s="4" t="s">
        <v>10</v>
      </c>
      <c r="E28" s="4" t="s">
        <v>12</v>
      </c>
      <c r="F28" s="4" t="s">
        <v>13</v>
      </c>
      <c r="G28" s="4"/>
      <c r="H28" s="4"/>
      <c r="I28" s="4"/>
      <c r="J28" s="4"/>
      <c r="K28" s="6" t="s">
        <v>14</v>
      </c>
      <c r="L28" s="4" t="s">
        <v>15</v>
      </c>
      <c r="M28" s="4" t="s">
        <v>16</v>
      </c>
      <c r="N28" s="7" t="s">
        <v>18</v>
      </c>
    </row>
    <row r="29" spans="1:14" ht="18.75" x14ac:dyDescent="0.25">
      <c r="A29" s="4" t="s">
        <v>30</v>
      </c>
      <c r="B29" s="4" t="s">
        <v>0</v>
      </c>
      <c r="C29" s="4">
        <v>17</v>
      </c>
      <c r="D29" s="4" t="s">
        <v>65</v>
      </c>
      <c r="E29" s="4">
        <v>5</v>
      </c>
      <c r="F29" s="4">
        <v>8</v>
      </c>
      <c r="G29" s="4">
        <v>7</v>
      </c>
      <c r="H29" s="4">
        <v>6</v>
      </c>
      <c r="I29" s="4">
        <v>7</v>
      </c>
      <c r="J29" s="4"/>
      <c r="K29" s="4">
        <f>((E29+F29)/2+G29+H29+I29+J29)/4</f>
        <v>6.625</v>
      </c>
      <c r="L29" s="4">
        <v>3</v>
      </c>
      <c r="M29" s="4">
        <f>L29*K29</f>
        <v>19.875</v>
      </c>
      <c r="N29" s="19">
        <f>M29+M30+M31</f>
        <v>36.75</v>
      </c>
    </row>
    <row r="30" spans="1:14" ht="18.75" x14ac:dyDescent="0.25">
      <c r="A30" s="4" t="s">
        <v>30</v>
      </c>
      <c r="B30" s="4" t="s">
        <v>1</v>
      </c>
      <c r="C30" s="4">
        <v>8</v>
      </c>
      <c r="D30" s="4" t="s">
        <v>116</v>
      </c>
      <c r="E30" s="4">
        <v>3</v>
      </c>
      <c r="F30" s="4">
        <v>6</v>
      </c>
      <c r="G30" s="4">
        <v>5</v>
      </c>
      <c r="H30" s="4">
        <v>6</v>
      </c>
      <c r="I30" s="4">
        <v>5</v>
      </c>
      <c r="J30" s="4"/>
      <c r="K30" s="4">
        <f>((E30+F30)/2+G30+H30+I30+J30)/4</f>
        <v>5.125</v>
      </c>
      <c r="L30" s="4">
        <v>2</v>
      </c>
      <c r="M30" s="4">
        <f>L30*K30</f>
        <v>10.25</v>
      </c>
      <c r="N30" s="19"/>
    </row>
    <row r="31" spans="1:14" ht="18.75" x14ac:dyDescent="0.25">
      <c r="A31" s="4" t="s">
        <v>30</v>
      </c>
      <c r="B31" s="4" t="s">
        <v>2</v>
      </c>
      <c r="C31" s="4">
        <v>13</v>
      </c>
      <c r="D31" s="4" t="s">
        <v>64</v>
      </c>
      <c r="E31" s="4">
        <v>5</v>
      </c>
      <c r="F31" s="4">
        <v>8</v>
      </c>
      <c r="G31" s="4">
        <v>6</v>
      </c>
      <c r="H31" s="4">
        <v>7</v>
      </c>
      <c r="I31" s="4">
        <v>7</v>
      </c>
      <c r="J31" s="4"/>
      <c r="K31" s="4">
        <f>((E31+F31)/2+G31+H31+I31+J31)/4</f>
        <v>6.625</v>
      </c>
      <c r="L31" s="4">
        <v>1</v>
      </c>
      <c r="M31" s="4">
        <f>L31*K31</f>
        <v>6.625</v>
      </c>
      <c r="N31" s="19"/>
    </row>
    <row r="32" spans="1:14" ht="18.75" x14ac:dyDescent="0.3">
      <c r="A32" s="2" t="s">
        <v>50</v>
      </c>
      <c r="B32" s="2"/>
      <c r="C32" s="2"/>
      <c r="D32" s="2"/>
      <c r="E32" s="18" t="s">
        <v>11</v>
      </c>
      <c r="F32" s="18"/>
      <c r="G32" s="18"/>
      <c r="H32" s="18"/>
      <c r="I32" s="18"/>
      <c r="J32" s="18"/>
      <c r="K32" s="2"/>
      <c r="L32" s="2"/>
      <c r="M32" s="2"/>
    </row>
    <row r="33" spans="1:16" ht="18.75" x14ac:dyDescent="0.25">
      <c r="A33" s="4" t="s">
        <v>8</v>
      </c>
      <c r="B33" s="6" t="s">
        <v>7</v>
      </c>
      <c r="C33" s="4" t="s">
        <v>9</v>
      </c>
      <c r="D33" s="4" t="s">
        <v>10</v>
      </c>
      <c r="E33" s="4" t="s">
        <v>12</v>
      </c>
      <c r="F33" s="4" t="s">
        <v>13</v>
      </c>
      <c r="G33" s="4"/>
      <c r="H33" s="4"/>
      <c r="I33" s="4"/>
      <c r="J33" s="4"/>
      <c r="K33" s="6" t="s">
        <v>14</v>
      </c>
      <c r="L33" s="4" t="s">
        <v>15</v>
      </c>
      <c r="M33" s="4" t="s">
        <v>16</v>
      </c>
      <c r="N33" s="7" t="s">
        <v>18</v>
      </c>
    </row>
    <row r="34" spans="1:16" ht="18.75" x14ac:dyDescent="0.25">
      <c r="A34" s="4" t="s">
        <v>22</v>
      </c>
      <c r="B34" s="4" t="s">
        <v>0</v>
      </c>
      <c r="C34" s="4">
        <v>4</v>
      </c>
      <c r="D34" s="4" t="s">
        <v>48</v>
      </c>
      <c r="E34" s="4">
        <v>3</v>
      </c>
      <c r="F34" s="4">
        <v>4</v>
      </c>
      <c r="G34" s="4">
        <v>3</v>
      </c>
      <c r="H34" s="4">
        <v>3</v>
      </c>
      <c r="I34" s="4">
        <v>3</v>
      </c>
      <c r="J34" s="4"/>
      <c r="K34" s="4">
        <f>((E34+F34)/2+G34+H34+I34+J34)/4</f>
        <v>3.125</v>
      </c>
      <c r="L34" s="4">
        <v>3</v>
      </c>
      <c r="M34" s="4">
        <f>L34*K34</f>
        <v>9.375</v>
      </c>
      <c r="N34" s="19">
        <f>M34+M35+M36</f>
        <v>27.625</v>
      </c>
    </row>
    <row r="35" spans="1:16" ht="18.75" x14ac:dyDescent="0.25">
      <c r="A35" s="4" t="s">
        <v>22</v>
      </c>
      <c r="B35" s="4" t="s">
        <v>1</v>
      </c>
      <c r="C35" s="4">
        <v>17</v>
      </c>
      <c r="D35" s="4" t="s">
        <v>152</v>
      </c>
      <c r="E35" s="4">
        <v>5</v>
      </c>
      <c r="F35" s="4">
        <v>6</v>
      </c>
      <c r="G35" s="4">
        <v>5</v>
      </c>
      <c r="H35" s="4">
        <v>5</v>
      </c>
      <c r="I35" s="4">
        <v>6</v>
      </c>
      <c r="J35" s="4"/>
      <c r="K35" s="4">
        <f>((E35+F35)/2+G35+H35+I35+J35)/4</f>
        <v>5.375</v>
      </c>
      <c r="L35" s="4">
        <v>2</v>
      </c>
      <c r="M35" s="4">
        <f>L35*K35</f>
        <v>10.75</v>
      </c>
      <c r="N35" s="19"/>
    </row>
    <row r="36" spans="1:16" ht="18.75" x14ac:dyDescent="0.25">
      <c r="A36" s="4" t="s">
        <v>22</v>
      </c>
      <c r="B36" s="4" t="s">
        <v>2</v>
      </c>
      <c r="C36" s="4">
        <v>8</v>
      </c>
      <c r="D36" s="4" t="s">
        <v>187</v>
      </c>
      <c r="E36" s="4">
        <v>6</v>
      </c>
      <c r="F36" s="4">
        <v>8</v>
      </c>
      <c r="G36" s="4">
        <v>8</v>
      </c>
      <c r="H36" s="4">
        <v>8</v>
      </c>
      <c r="I36" s="4">
        <v>7</v>
      </c>
      <c r="J36" s="4"/>
      <c r="K36" s="4">
        <f>((E36+F36)/2+G36+H36+I36+J36)/4</f>
        <v>7.5</v>
      </c>
      <c r="L36" s="4">
        <v>1</v>
      </c>
      <c r="M36" s="4">
        <f>L36*K36</f>
        <v>7.5</v>
      </c>
      <c r="N36" s="19"/>
    </row>
    <row r="37" spans="1:16" ht="18.75" x14ac:dyDescent="0.3">
      <c r="A37" s="2" t="s">
        <v>50</v>
      </c>
      <c r="B37" s="2">
        <v>5</v>
      </c>
      <c r="C37" s="2"/>
      <c r="D37" s="2"/>
      <c r="E37" s="18" t="s">
        <v>11</v>
      </c>
      <c r="F37" s="18"/>
      <c r="G37" s="18"/>
      <c r="H37" s="18"/>
      <c r="I37" s="18"/>
      <c r="J37" s="18"/>
      <c r="K37" s="2"/>
      <c r="L37" s="2"/>
      <c r="M37" s="2"/>
    </row>
    <row r="38" spans="1:16" ht="18.75" x14ac:dyDescent="0.25">
      <c r="A38" s="4" t="s">
        <v>8</v>
      </c>
      <c r="B38" s="6" t="s">
        <v>7</v>
      </c>
      <c r="C38" s="4" t="s">
        <v>9</v>
      </c>
      <c r="D38" s="4" t="s">
        <v>10</v>
      </c>
      <c r="E38" s="4" t="s">
        <v>12</v>
      </c>
      <c r="F38" s="4" t="s">
        <v>13</v>
      </c>
      <c r="G38" s="4"/>
      <c r="H38" s="4"/>
      <c r="I38" s="4"/>
      <c r="J38" s="4"/>
      <c r="K38" s="6" t="s">
        <v>14</v>
      </c>
      <c r="L38" s="4" t="s">
        <v>15</v>
      </c>
      <c r="M38" s="4" t="s">
        <v>16</v>
      </c>
      <c r="N38" s="7" t="s">
        <v>18</v>
      </c>
    </row>
    <row r="39" spans="1:16" ht="18.75" x14ac:dyDescent="0.25">
      <c r="A39" s="4" t="s">
        <v>29</v>
      </c>
      <c r="B39" s="4" t="s">
        <v>0</v>
      </c>
      <c r="C39" s="4">
        <v>13</v>
      </c>
      <c r="D39" s="4" t="s">
        <v>150</v>
      </c>
      <c r="E39" s="4">
        <v>6</v>
      </c>
      <c r="F39" s="4">
        <v>9</v>
      </c>
      <c r="G39" s="4">
        <v>7</v>
      </c>
      <c r="H39" s="4">
        <v>7</v>
      </c>
      <c r="I39" s="4">
        <v>9</v>
      </c>
      <c r="J39" s="4"/>
      <c r="K39" s="4">
        <f>((E39+F39)/2+G39+H39+I39+J39)/4</f>
        <v>7.625</v>
      </c>
      <c r="L39" s="4">
        <v>3</v>
      </c>
      <c r="M39" s="4">
        <f>L39*K39</f>
        <v>22.875</v>
      </c>
      <c r="N39" s="19">
        <f>M39+M40+M41</f>
        <v>39.5</v>
      </c>
    </row>
    <row r="40" spans="1:16" ht="18.75" x14ac:dyDescent="0.25">
      <c r="A40" s="4" t="s">
        <v>29</v>
      </c>
      <c r="B40" s="4" t="s">
        <v>1</v>
      </c>
      <c r="C40" s="4">
        <v>4</v>
      </c>
      <c r="D40" s="4" t="s">
        <v>150</v>
      </c>
      <c r="E40" s="4">
        <v>5</v>
      </c>
      <c r="F40" s="4">
        <v>7</v>
      </c>
      <c r="G40" s="4">
        <v>5</v>
      </c>
      <c r="H40" s="4">
        <v>5</v>
      </c>
      <c r="I40" s="4">
        <v>5</v>
      </c>
      <c r="J40" s="4"/>
      <c r="K40" s="4">
        <f>((E40+F40)/2+G40+H40+I40+J40)/4</f>
        <v>5.25</v>
      </c>
      <c r="L40" s="4">
        <v>2</v>
      </c>
      <c r="M40" s="4">
        <f>L40*K40</f>
        <v>10.5</v>
      </c>
      <c r="N40" s="19"/>
    </row>
    <row r="41" spans="1:16" ht="18.75" x14ac:dyDescent="0.25">
      <c r="A41" s="4" t="s">
        <v>29</v>
      </c>
      <c r="B41" s="4" t="s">
        <v>2</v>
      </c>
      <c r="C41" s="4">
        <v>17</v>
      </c>
      <c r="D41" s="4" t="s">
        <v>149</v>
      </c>
      <c r="E41" s="4">
        <v>5</v>
      </c>
      <c r="F41" s="4">
        <v>8</v>
      </c>
      <c r="G41" s="4">
        <v>7</v>
      </c>
      <c r="H41" s="4">
        <v>5</v>
      </c>
      <c r="I41" s="4">
        <v>6</v>
      </c>
      <c r="J41" s="4"/>
      <c r="K41" s="4">
        <f>((E41+F41)/2+G41+H41+I41+J41)/4</f>
        <v>6.125</v>
      </c>
      <c r="L41" s="4">
        <v>1</v>
      </c>
      <c r="M41" s="4">
        <f>L41*K41</f>
        <v>6.125</v>
      </c>
      <c r="N41" s="19"/>
    </row>
    <row r="42" spans="1:16" ht="18.75" x14ac:dyDescent="0.3">
      <c r="A42" s="2" t="s">
        <v>19</v>
      </c>
      <c r="B42" s="2" t="s">
        <v>186</v>
      </c>
      <c r="C42" s="2"/>
      <c r="D42" s="2"/>
      <c r="E42" s="18" t="s">
        <v>11</v>
      </c>
      <c r="F42" s="18"/>
      <c r="G42" s="18"/>
      <c r="H42" s="18"/>
      <c r="I42" s="18"/>
      <c r="J42" s="18"/>
      <c r="K42" s="2"/>
      <c r="L42" s="2"/>
      <c r="M42" s="2"/>
    </row>
    <row r="43" spans="1:16" ht="18.75" x14ac:dyDescent="0.25">
      <c r="A43" s="4" t="s">
        <v>8</v>
      </c>
      <c r="B43" s="6" t="s">
        <v>7</v>
      </c>
      <c r="C43" s="4" t="s">
        <v>9</v>
      </c>
      <c r="D43" s="4" t="s">
        <v>10</v>
      </c>
      <c r="E43" s="4" t="s">
        <v>12</v>
      </c>
      <c r="F43" s="4" t="s">
        <v>13</v>
      </c>
      <c r="G43" s="4"/>
      <c r="H43" s="4"/>
      <c r="I43" s="4"/>
      <c r="J43" s="4"/>
      <c r="K43" s="4"/>
      <c r="L43" s="4" t="s">
        <v>14</v>
      </c>
      <c r="M43" s="4" t="s">
        <v>15</v>
      </c>
      <c r="N43" s="4" t="s">
        <v>16</v>
      </c>
      <c r="O43" s="7" t="s">
        <v>18</v>
      </c>
    </row>
    <row r="44" spans="1:16" ht="18.75" x14ac:dyDescent="0.25">
      <c r="A44" s="4" t="s">
        <v>23</v>
      </c>
      <c r="B44" s="4" t="s">
        <v>0</v>
      </c>
      <c r="C44" s="4">
        <v>10</v>
      </c>
      <c r="D44" s="4" t="s">
        <v>185</v>
      </c>
      <c r="E44" s="4">
        <v>3</v>
      </c>
      <c r="F44" s="4">
        <v>6</v>
      </c>
      <c r="G44" s="4">
        <v>6</v>
      </c>
      <c r="H44" s="4">
        <v>4</v>
      </c>
      <c r="I44" s="4">
        <v>6</v>
      </c>
      <c r="J44" s="4">
        <v>4</v>
      </c>
      <c r="K44" s="4">
        <v>4</v>
      </c>
      <c r="L44" s="4">
        <f>((E44+F44)/2+G44+H44+I44+J44+K44)/6</f>
        <v>4.75</v>
      </c>
      <c r="M44" s="14">
        <v>2.2000000000000002</v>
      </c>
      <c r="N44" s="4">
        <f>M44*L44</f>
        <v>10.450000000000001</v>
      </c>
      <c r="O44" s="13">
        <f>N44+N45+N46</f>
        <v>29.866666666666671</v>
      </c>
      <c r="P44">
        <f>K44</f>
        <v>4</v>
      </c>
    </row>
    <row r="45" spans="1:16" ht="18.75" x14ac:dyDescent="0.25">
      <c r="A45" s="4" t="s">
        <v>23</v>
      </c>
      <c r="B45" s="4" t="s">
        <v>1</v>
      </c>
      <c r="C45" s="4">
        <v>6</v>
      </c>
      <c r="D45" s="4" t="s">
        <v>52</v>
      </c>
      <c r="E45" s="4">
        <v>3</v>
      </c>
      <c r="F45" s="4">
        <v>7</v>
      </c>
      <c r="G45" s="4">
        <v>7</v>
      </c>
      <c r="H45" s="4">
        <v>7</v>
      </c>
      <c r="I45" s="4">
        <v>4</v>
      </c>
      <c r="J45" s="4">
        <v>6</v>
      </c>
      <c r="K45" s="4">
        <v>7</v>
      </c>
      <c r="L45" s="4">
        <f>((E45+F45)/2+G45+H45+I45+J45+K45)/6</f>
        <v>6</v>
      </c>
      <c r="M45" s="4">
        <v>2</v>
      </c>
      <c r="N45" s="4">
        <f>M45*L45</f>
        <v>12</v>
      </c>
      <c r="O45" s="13"/>
      <c r="P45">
        <f>K45</f>
        <v>7</v>
      </c>
    </row>
    <row r="46" spans="1:16" ht="18.75" x14ac:dyDescent="0.25">
      <c r="A46" s="4" t="s">
        <v>23</v>
      </c>
      <c r="B46" s="4" t="s">
        <v>2</v>
      </c>
      <c r="C46" s="4">
        <v>14</v>
      </c>
      <c r="D46" s="4" t="s">
        <v>164</v>
      </c>
      <c r="E46" s="4">
        <v>4</v>
      </c>
      <c r="F46" s="4">
        <v>9</v>
      </c>
      <c r="G46" s="4">
        <v>8</v>
      </c>
      <c r="H46" s="4">
        <v>8</v>
      </c>
      <c r="I46" s="4">
        <v>8</v>
      </c>
      <c r="J46" s="4">
        <v>7</v>
      </c>
      <c r="K46" s="4">
        <v>7</v>
      </c>
      <c r="L46" s="4">
        <f>((E46+F46)/2+G46+H46+I46+J46+K46)/6</f>
        <v>7.416666666666667</v>
      </c>
      <c r="M46" s="4">
        <v>1</v>
      </c>
      <c r="N46" s="4">
        <f>M46*L46</f>
        <v>7.416666666666667</v>
      </c>
      <c r="O46" s="13"/>
      <c r="P46">
        <f>K46</f>
        <v>7</v>
      </c>
    </row>
    <row r="47" spans="1:16" ht="18.75" x14ac:dyDescent="0.3">
      <c r="A47" s="2" t="s">
        <v>19</v>
      </c>
      <c r="B47" s="2">
        <v>16</v>
      </c>
      <c r="C47" s="2"/>
      <c r="D47" s="2"/>
      <c r="E47" s="18" t="s">
        <v>11</v>
      </c>
      <c r="F47" s="18"/>
      <c r="G47" s="18"/>
      <c r="H47" s="18"/>
      <c r="I47" s="18"/>
      <c r="J47" s="18"/>
      <c r="K47" s="2"/>
      <c r="L47" s="2"/>
      <c r="M47" s="2"/>
    </row>
    <row r="48" spans="1:16" ht="18.75" x14ac:dyDescent="0.25">
      <c r="A48" s="4" t="s">
        <v>8</v>
      </c>
      <c r="B48" s="6" t="s">
        <v>7</v>
      </c>
      <c r="C48" s="4" t="s">
        <v>9</v>
      </c>
      <c r="D48" s="4" t="s">
        <v>10</v>
      </c>
      <c r="E48" s="4" t="s">
        <v>12</v>
      </c>
      <c r="F48" s="4" t="s">
        <v>13</v>
      </c>
      <c r="G48" s="4"/>
      <c r="H48" s="4"/>
      <c r="I48" s="4"/>
      <c r="J48" s="4"/>
      <c r="K48" s="4"/>
      <c r="L48" s="4" t="s">
        <v>14</v>
      </c>
      <c r="M48" s="4" t="s">
        <v>15</v>
      </c>
      <c r="N48" s="4" t="s">
        <v>16</v>
      </c>
      <c r="O48" s="7" t="s">
        <v>18</v>
      </c>
    </row>
    <row r="49" spans="1:16" ht="18.75" x14ac:dyDescent="0.25">
      <c r="A49" s="4" t="s">
        <v>96</v>
      </c>
      <c r="B49" s="4" t="s">
        <v>0</v>
      </c>
      <c r="C49" s="4">
        <v>14</v>
      </c>
      <c r="D49" s="4" t="s">
        <v>99</v>
      </c>
      <c r="E49" s="4">
        <v>3</v>
      </c>
      <c r="F49" s="4">
        <v>6</v>
      </c>
      <c r="G49" s="4">
        <v>4</v>
      </c>
      <c r="H49" s="4">
        <v>3</v>
      </c>
      <c r="I49" s="4">
        <v>5</v>
      </c>
      <c r="J49" s="4">
        <v>5</v>
      </c>
      <c r="K49" s="4">
        <v>4</v>
      </c>
      <c r="L49" s="4">
        <f>((E49+F49)/2+G49+H49+I49+J49+K49)/6</f>
        <v>4.25</v>
      </c>
      <c r="M49" s="4">
        <v>3</v>
      </c>
      <c r="N49" s="4">
        <f>M49*L49</f>
        <v>12.75</v>
      </c>
      <c r="O49" s="13">
        <f>N49+N50+N51</f>
        <v>26.749999999999996</v>
      </c>
      <c r="P49">
        <f>K49</f>
        <v>4</v>
      </c>
    </row>
    <row r="50" spans="1:16" ht="18.75" x14ac:dyDescent="0.25">
      <c r="A50" s="4" t="s">
        <v>96</v>
      </c>
      <c r="B50" s="4" t="s">
        <v>1</v>
      </c>
      <c r="C50" s="4">
        <v>10</v>
      </c>
      <c r="D50" s="4" t="s">
        <v>172</v>
      </c>
      <c r="E50" s="4">
        <v>3</v>
      </c>
      <c r="F50" s="4">
        <v>6</v>
      </c>
      <c r="G50" s="4">
        <v>5</v>
      </c>
      <c r="H50" s="4">
        <v>4</v>
      </c>
      <c r="I50" s="4">
        <v>5</v>
      </c>
      <c r="J50" s="4">
        <v>4</v>
      </c>
      <c r="K50" s="4">
        <v>5</v>
      </c>
      <c r="L50" s="4">
        <f>((E50+F50)/2+G50+H50+I50+J50+K50)/6</f>
        <v>4.583333333333333</v>
      </c>
      <c r="M50" s="4">
        <v>2</v>
      </c>
      <c r="N50" s="4">
        <f>M50*L50</f>
        <v>9.1666666666666661</v>
      </c>
      <c r="O50" s="13"/>
      <c r="P50">
        <f>K50</f>
        <v>5</v>
      </c>
    </row>
    <row r="51" spans="1:16" ht="18.75" x14ac:dyDescent="0.25">
      <c r="A51" s="4" t="s">
        <v>96</v>
      </c>
      <c r="B51" s="4" t="s">
        <v>2</v>
      </c>
      <c r="C51" s="4">
        <v>6</v>
      </c>
      <c r="D51" s="4" t="s">
        <v>171</v>
      </c>
      <c r="E51" s="4">
        <v>3</v>
      </c>
      <c r="F51" s="4">
        <v>9</v>
      </c>
      <c r="G51" s="4">
        <v>5</v>
      </c>
      <c r="H51" s="4">
        <v>4</v>
      </c>
      <c r="I51" s="4">
        <v>4</v>
      </c>
      <c r="J51" s="4">
        <v>5</v>
      </c>
      <c r="K51" s="4">
        <v>5</v>
      </c>
      <c r="L51" s="4">
        <f>((E51+F51)/2+G51+H51+I51+J51+K51)/6</f>
        <v>4.833333333333333</v>
      </c>
      <c r="M51" s="4">
        <v>1</v>
      </c>
      <c r="N51" s="4">
        <f>M51*L51</f>
        <v>4.833333333333333</v>
      </c>
      <c r="O51" s="13"/>
      <c r="P51">
        <f>K51</f>
        <v>5</v>
      </c>
    </row>
    <row r="52" spans="1:16" ht="18.75" x14ac:dyDescent="0.3">
      <c r="A52" s="2" t="s">
        <v>19</v>
      </c>
      <c r="B52" s="2" t="s">
        <v>184</v>
      </c>
      <c r="C52" s="2"/>
      <c r="D52" s="2"/>
      <c r="E52" s="18" t="s">
        <v>11</v>
      </c>
      <c r="F52" s="18"/>
      <c r="G52" s="18"/>
      <c r="H52" s="18"/>
      <c r="I52" s="18"/>
      <c r="J52" s="18"/>
      <c r="K52" s="2"/>
      <c r="L52" s="2"/>
      <c r="M52" s="2"/>
    </row>
    <row r="53" spans="1:16" ht="18.75" x14ac:dyDescent="0.25">
      <c r="A53" s="4" t="s">
        <v>8</v>
      </c>
      <c r="B53" s="6" t="s">
        <v>7</v>
      </c>
      <c r="C53" s="4" t="s">
        <v>9</v>
      </c>
      <c r="D53" s="4" t="s">
        <v>10</v>
      </c>
      <c r="E53" s="4" t="s">
        <v>12</v>
      </c>
      <c r="F53" s="4" t="s">
        <v>13</v>
      </c>
      <c r="G53" s="4"/>
      <c r="H53" s="4"/>
      <c r="I53" s="4"/>
      <c r="J53" s="4"/>
      <c r="K53" s="4"/>
      <c r="L53" s="4" t="s">
        <v>14</v>
      </c>
      <c r="M53" s="4" t="s">
        <v>15</v>
      </c>
      <c r="N53" s="4" t="s">
        <v>16</v>
      </c>
      <c r="O53" s="7" t="s">
        <v>18</v>
      </c>
    </row>
    <row r="54" spans="1:16" ht="18.75" x14ac:dyDescent="0.25">
      <c r="A54" s="4" t="s">
        <v>31</v>
      </c>
      <c r="B54" s="4" t="s">
        <v>0</v>
      </c>
      <c r="C54" s="4">
        <v>6</v>
      </c>
      <c r="D54" s="4" t="s">
        <v>71</v>
      </c>
      <c r="E54" s="4">
        <v>6</v>
      </c>
      <c r="F54" s="4">
        <v>10</v>
      </c>
      <c r="G54" s="4">
        <v>9</v>
      </c>
      <c r="H54" s="4">
        <v>10</v>
      </c>
      <c r="I54" s="4">
        <v>8</v>
      </c>
      <c r="J54" s="4">
        <v>7</v>
      </c>
      <c r="K54" s="4">
        <v>8</v>
      </c>
      <c r="L54" s="4">
        <f>((E54+F54)/2+G54+H54+I54+J54+K54)/6</f>
        <v>8.3333333333333339</v>
      </c>
      <c r="M54" s="4">
        <v>3</v>
      </c>
      <c r="N54" s="4">
        <f>M54*L54</f>
        <v>25</v>
      </c>
      <c r="O54" s="13">
        <f>N54+N55+N56</f>
        <v>42.583333333333329</v>
      </c>
      <c r="P54">
        <f>K54</f>
        <v>8</v>
      </c>
    </row>
    <row r="55" spans="1:16" ht="18.75" x14ac:dyDescent="0.25">
      <c r="A55" s="4" t="s">
        <v>31</v>
      </c>
      <c r="B55" s="4" t="s">
        <v>1</v>
      </c>
      <c r="C55" s="4">
        <v>14</v>
      </c>
      <c r="D55" s="4" t="s">
        <v>183</v>
      </c>
      <c r="E55" s="4">
        <v>4</v>
      </c>
      <c r="F55" s="4">
        <v>7</v>
      </c>
      <c r="G55" s="4">
        <v>7</v>
      </c>
      <c r="H55" s="4">
        <v>4</v>
      </c>
      <c r="I55" s="4">
        <v>6</v>
      </c>
      <c r="J55" s="4">
        <v>5</v>
      </c>
      <c r="K55" s="4">
        <v>6</v>
      </c>
      <c r="L55" s="4">
        <f>((E55+F55)/2+G55+H55+I55+J55+K55)/6</f>
        <v>5.583333333333333</v>
      </c>
      <c r="M55" s="4">
        <v>2</v>
      </c>
      <c r="N55" s="4">
        <f>M55*L55</f>
        <v>11.166666666666666</v>
      </c>
      <c r="O55" s="13"/>
      <c r="P55">
        <f>K55</f>
        <v>6</v>
      </c>
    </row>
    <row r="56" spans="1:16" ht="18.75" x14ac:dyDescent="0.25">
      <c r="A56" s="4" t="s">
        <v>31</v>
      </c>
      <c r="B56" s="4" t="s">
        <v>2</v>
      </c>
      <c r="C56" s="4">
        <v>10</v>
      </c>
      <c r="D56" s="4" t="s">
        <v>183</v>
      </c>
      <c r="E56" s="4">
        <v>4</v>
      </c>
      <c r="F56" s="4">
        <v>9</v>
      </c>
      <c r="G56" s="4">
        <v>9</v>
      </c>
      <c r="H56" s="4">
        <v>5</v>
      </c>
      <c r="I56" s="4">
        <v>6</v>
      </c>
      <c r="J56" s="4">
        <v>5</v>
      </c>
      <c r="K56" s="4">
        <v>7</v>
      </c>
      <c r="L56" s="4">
        <f>((E56+F56)/2+G56+H56+I56+J56+K56)/6</f>
        <v>6.416666666666667</v>
      </c>
      <c r="M56" s="4">
        <v>1</v>
      </c>
      <c r="N56" s="4">
        <f>M56*L56</f>
        <v>6.416666666666667</v>
      </c>
      <c r="O56" s="13"/>
      <c r="P56">
        <f>K56</f>
        <v>7</v>
      </c>
    </row>
    <row r="57" spans="1:16" ht="18.75" x14ac:dyDescent="0.3">
      <c r="A57" s="2" t="s">
        <v>6</v>
      </c>
      <c r="B57" s="2"/>
      <c r="C57" s="2"/>
      <c r="D57" s="2"/>
      <c r="E57" s="18" t="s">
        <v>11</v>
      </c>
      <c r="F57" s="18"/>
      <c r="G57" s="18"/>
      <c r="H57" s="18"/>
      <c r="I57" s="18"/>
      <c r="J57" s="18"/>
      <c r="K57" s="2"/>
      <c r="L57" s="2"/>
      <c r="M57" s="2"/>
    </row>
    <row r="58" spans="1:16" ht="18.75" x14ac:dyDescent="0.25">
      <c r="A58" s="4" t="s">
        <v>8</v>
      </c>
      <c r="B58" s="6" t="s">
        <v>7</v>
      </c>
      <c r="C58" s="4" t="s">
        <v>9</v>
      </c>
      <c r="D58" s="4" t="s">
        <v>10</v>
      </c>
      <c r="E58" s="4" t="s">
        <v>12</v>
      </c>
      <c r="F58" s="4" t="s">
        <v>13</v>
      </c>
      <c r="G58" s="4"/>
      <c r="H58" s="4"/>
      <c r="I58" s="4"/>
      <c r="J58" s="4"/>
      <c r="K58" s="6" t="s">
        <v>14</v>
      </c>
      <c r="L58" s="4" t="s">
        <v>15</v>
      </c>
      <c r="M58" s="4" t="s">
        <v>16</v>
      </c>
      <c r="N58" s="7" t="s">
        <v>18</v>
      </c>
    </row>
    <row r="59" spans="1:16" ht="18.75" x14ac:dyDescent="0.25">
      <c r="A59" s="4" t="s">
        <v>93</v>
      </c>
      <c r="B59" s="4" t="s">
        <v>0</v>
      </c>
      <c r="C59" s="4">
        <v>2</v>
      </c>
      <c r="D59" s="4" t="s">
        <v>119</v>
      </c>
      <c r="E59" s="4">
        <v>6</v>
      </c>
      <c r="F59" s="4">
        <v>7</v>
      </c>
      <c r="G59" s="4">
        <v>7</v>
      </c>
      <c r="H59" s="4">
        <v>7</v>
      </c>
      <c r="I59" s="4">
        <v>7</v>
      </c>
      <c r="J59" s="4"/>
      <c r="K59" s="4">
        <f>((E59+F59)/2+G59+H59+I59+J59)/4</f>
        <v>6.875</v>
      </c>
      <c r="L59" s="4">
        <v>3</v>
      </c>
      <c r="M59" s="4">
        <f>L59*K59</f>
        <v>20.625</v>
      </c>
      <c r="N59" s="19">
        <f>M59+M60+M61</f>
        <v>40</v>
      </c>
    </row>
    <row r="60" spans="1:16" ht="18.75" x14ac:dyDescent="0.25">
      <c r="A60" s="4" t="s">
        <v>93</v>
      </c>
      <c r="B60" s="4" t="s">
        <v>1</v>
      </c>
      <c r="C60" s="4">
        <v>11</v>
      </c>
      <c r="D60" s="4" t="s">
        <v>95</v>
      </c>
      <c r="E60" s="4">
        <v>5</v>
      </c>
      <c r="F60" s="4">
        <v>7</v>
      </c>
      <c r="G60" s="4">
        <v>7</v>
      </c>
      <c r="H60" s="4">
        <v>7</v>
      </c>
      <c r="I60" s="4">
        <v>6</v>
      </c>
      <c r="J60" s="4"/>
      <c r="K60" s="4">
        <f>((E60+F60)/2+G60+H60+I60+J60)/4</f>
        <v>6.5</v>
      </c>
      <c r="L60" s="4">
        <v>2</v>
      </c>
      <c r="M60" s="4">
        <f>L60*K60</f>
        <v>13</v>
      </c>
      <c r="N60" s="19"/>
    </row>
    <row r="61" spans="1:16" ht="18.75" x14ac:dyDescent="0.25">
      <c r="A61" s="4" t="s">
        <v>93</v>
      </c>
      <c r="B61" s="4" t="s">
        <v>2</v>
      </c>
      <c r="C61" s="4">
        <v>3</v>
      </c>
      <c r="D61" s="4" t="s">
        <v>182</v>
      </c>
      <c r="E61" s="4">
        <v>4</v>
      </c>
      <c r="F61" s="4">
        <v>7</v>
      </c>
      <c r="G61" s="4">
        <v>7</v>
      </c>
      <c r="H61" s="4">
        <v>6</v>
      </c>
      <c r="I61" s="4">
        <v>7</v>
      </c>
      <c r="J61" s="4"/>
      <c r="K61" s="4">
        <f>((E61+F61)/2+G61+H61+I61+J61)/4</f>
        <v>6.375</v>
      </c>
      <c r="L61" s="4">
        <v>1</v>
      </c>
      <c r="M61" s="4">
        <f>L61*K61</f>
        <v>6.375</v>
      </c>
      <c r="N61" s="19"/>
    </row>
    <row r="62" spans="1:16" ht="18.75" x14ac:dyDescent="0.3">
      <c r="A62" s="2" t="s">
        <v>6</v>
      </c>
      <c r="B62" s="2"/>
      <c r="C62" s="2"/>
      <c r="D62" s="2"/>
      <c r="E62" s="18" t="s">
        <v>11</v>
      </c>
      <c r="F62" s="18"/>
      <c r="G62" s="18"/>
      <c r="H62" s="18"/>
      <c r="I62" s="18"/>
      <c r="J62" s="18"/>
      <c r="K62" s="2"/>
      <c r="L62" s="2"/>
      <c r="M62" s="2"/>
    </row>
    <row r="63" spans="1:16" ht="18.75" x14ac:dyDescent="0.25">
      <c r="A63" s="4" t="s">
        <v>8</v>
      </c>
      <c r="B63" s="6" t="s">
        <v>7</v>
      </c>
      <c r="C63" s="4" t="s">
        <v>9</v>
      </c>
      <c r="D63" s="4" t="s">
        <v>10</v>
      </c>
      <c r="E63" s="4" t="s">
        <v>12</v>
      </c>
      <c r="F63" s="4" t="s">
        <v>13</v>
      </c>
      <c r="G63" s="4"/>
      <c r="H63" s="4"/>
      <c r="I63" s="4"/>
      <c r="J63" s="4"/>
      <c r="K63" s="6" t="s">
        <v>14</v>
      </c>
      <c r="L63" s="4" t="s">
        <v>15</v>
      </c>
      <c r="M63" s="4" t="s">
        <v>16</v>
      </c>
      <c r="N63" s="7" t="s">
        <v>18</v>
      </c>
    </row>
    <row r="64" spans="1:16" ht="18.75" x14ac:dyDescent="0.25">
      <c r="A64" s="4" t="s">
        <v>157</v>
      </c>
      <c r="B64" s="4" t="s">
        <v>0</v>
      </c>
      <c r="C64" s="4">
        <v>3</v>
      </c>
      <c r="D64" s="4" t="s">
        <v>55</v>
      </c>
      <c r="E64" s="4">
        <v>7</v>
      </c>
      <c r="F64" s="4">
        <v>8</v>
      </c>
      <c r="G64" s="4">
        <v>7</v>
      </c>
      <c r="H64" s="4">
        <v>8</v>
      </c>
      <c r="I64" s="4">
        <v>8</v>
      </c>
      <c r="J64" s="4"/>
      <c r="K64" s="4">
        <f>((E64+F64)/2+G64+H64+I64+J64)/4</f>
        <v>7.625</v>
      </c>
      <c r="L64" s="4">
        <v>3</v>
      </c>
      <c r="M64" s="4">
        <f>L64*K64</f>
        <v>22.875</v>
      </c>
      <c r="N64" s="19">
        <f>M64+M65+M66</f>
        <v>45.25</v>
      </c>
    </row>
    <row r="65" spans="1:14" ht="18.75" x14ac:dyDescent="0.25">
      <c r="A65" s="4" t="s">
        <v>157</v>
      </c>
      <c r="B65" s="4" t="s">
        <v>1</v>
      </c>
      <c r="C65" s="4">
        <v>2</v>
      </c>
      <c r="D65" s="4" t="s">
        <v>57</v>
      </c>
      <c r="E65" s="4">
        <v>7</v>
      </c>
      <c r="F65" s="4">
        <v>8</v>
      </c>
      <c r="G65" s="4">
        <v>7</v>
      </c>
      <c r="H65" s="4">
        <v>8</v>
      </c>
      <c r="I65" s="4">
        <v>8</v>
      </c>
      <c r="J65" s="4"/>
      <c r="K65" s="4">
        <f>((E65+F65)/2+G65+H65+I65+J65)/4</f>
        <v>7.625</v>
      </c>
      <c r="L65" s="4">
        <v>2</v>
      </c>
      <c r="M65" s="4">
        <f>L65*K65</f>
        <v>15.25</v>
      </c>
      <c r="N65" s="19"/>
    </row>
    <row r="66" spans="1:14" ht="18.75" x14ac:dyDescent="0.25">
      <c r="A66" s="4" t="s">
        <v>157</v>
      </c>
      <c r="B66" s="4" t="s">
        <v>2</v>
      </c>
      <c r="C66" s="4">
        <v>11</v>
      </c>
      <c r="D66" s="4" t="s">
        <v>137</v>
      </c>
      <c r="E66" s="4">
        <v>5</v>
      </c>
      <c r="F66" s="4">
        <v>8</v>
      </c>
      <c r="G66" s="4">
        <v>8</v>
      </c>
      <c r="H66" s="4">
        <v>7</v>
      </c>
      <c r="I66" s="4">
        <v>7</v>
      </c>
      <c r="J66" s="4"/>
      <c r="K66" s="4">
        <f>((E66+F66)/2+G66+H66+I66+J66)/4</f>
        <v>7.125</v>
      </c>
      <c r="L66" s="4">
        <v>1</v>
      </c>
      <c r="M66" s="4">
        <f>L66*K66</f>
        <v>7.125</v>
      </c>
      <c r="N66" s="19"/>
    </row>
    <row r="67" spans="1:14" ht="18.75" x14ac:dyDescent="0.3">
      <c r="A67" s="2" t="s">
        <v>6</v>
      </c>
      <c r="B67" s="2" t="s">
        <v>181</v>
      </c>
      <c r="C67" s="2"/>
      <c r="D67" s="2"/>
      <c r="E67" s="18" t="s">
        <v>11</v>
      </c>
      <c r="F67" s="18"/>
      <c r="G67" s="18"/>
      <c r="H67" s="18"/>
      <c r="I67" s="18"/>
      <c r="J67" s="18"/>
      <c r="K67" s="2"/>
      <c r="L67" s="2"/>
      <c r="M67" s="2"/>
    </row>
    <row r="68" spans="1:14" ht="18.75" x14ac:dyDescent="0.25">
      <c r="A68" s="4" t="s">
        <v>8</v>
      </c>
      <c r="B68" s="6" t="s">
        <v>7</v>
      </c>
      <c r="C68" s="4" t="s">
        <v>9</v>
      </c>
      <c r="D68" s="4" t="s">
        <v>10</v>
      </c>
      <c r="E68" s="4" t="s">
        <v>12</v>
      </c>
      <c r="F68" s="4" t="s">
        <v>13</v>
      </c>
      <c r="G68" s="4"/>
      <c r="H68" s="4"/>
      <c r="I68" s="4"/>
      <c r="J68" s="4"/>
      <c r="K68" s="6" t="s">
        <v>14</v>
      </c>
      <c r="L68" s="4" t="s">
        <v>15</v>
      </c>
      <c r="M68" s="4" t="s">
        <v>16</v>
      </c>
      <c r="N68" s="7" t="s">
        <v>18</v>
      </c>
    </row>
    <row r="69" spans="1:14" ht="18.75" x14ac:dyDescent="0.25">
      <c r="A69" s="4" t="s">
        <v>26</v>
      </c>
      <c r="B69" s="4" t="s">
        <v>0</v>
      </c>
      <c r="C69" s="4">
        <v>11</v>
      </c>
      <c r="D69" s="4" t="s">
        <v>36</v>
      </c>
      <c r="E69" s="4">
        <v>4</v>
      </c>
      <c r="F69" s="4">
        <v>7</v>
      </c>
      <c r="G69" s="4">
        <v>5</v>
      </c>
      <c r="H69" s="4">
        <v>6</v>
      </c>
      <c r="I69" s="4">
        <v>6</v>
      </c>
      <c r="J69" s="4"/>
      <c r="K69" s="4">
        <f>((E69+F69)/2+G69+H69+I69+J69)/4</f>
        <v>5.625</v>
      </c>
      <c r="L69" s="14">
        <v>2.8</v>
      </c>
      <c r="M69" s="4">
        <f>L69*K69</f>
        <v>15.749999999999998</v>
      </c>
      <c r="N69" s="19">
        <f>M69+M70+M71</f>
        <v>33.25</v>
      </c>
    </row>
    <row r="70" spans="1:14" ht="18.75" x14ac:dyDescent="0.25">
      <c r="A70" s="4" t="s">
        <v>26</v>
      </c>
      <c r="B70" s="4" t="s">
        <v>1</v>
      </c>
      <c r="C70" s="4">
        <v>3</v>
      </c>
      <c r="D70" s="4" t="s">
        <v>180</v>
      </c>
      <c r="E70" s="4">
        <v>3</v>
      </c>
      <c r="F70" s="4">
        <v>7</v>
      </c>
      <c r="G70" s="4">
        <v>6</v>
      </c>
      <c r="H70" s="4">
        <v>7</v>
      </c>
      <c r="I70" s="4">
        <v>6</v>
      </c>
      <c r="J70" s="4"/>
      <c r="K70" s="4">
        <f>((E70+F70)/2+G70+H70+I70+J70)/4</f>
        <v>6</v>
      </c>
      <c r="L70" s="4">
        <v>2</v>
      </c>
      <c r="M70" s="4">
        <f>L70*K70</f>
        <v>12</v>
      </c>
      <c r="N70" s="19"/>
    </row>
    <row r="71" spans="1:14" ht="18.75" x14ac:dyDescent="0.25">
      <c r="A71" s="4" t="s">
        <v>26</v>
      </c>
      <c r="B71" s="4" t="s">
        <v>2</v>
      </c>
      <c r="C71" s="4">
        <v>2</v>
      </c>
      <c r="D71" s="4" t="s">
        <v>37</v>
      </c>
      <c r="E71" s="4">
        <v>4</v>
      </c>
      <c r="F71" s="4">
        <v>6</v>
      </c>
      <c r="G71" s="4">
        <v>5</v>
      </c>
      <c r="H71" s="4">
        <v>6</v>
      </c>
      <c r="I71" s="4">
        <v>6</v>
      </c>
      <c r="J71" s="4"/>
      <c r="K71" s="4">
        <f>((E71+F71)/2+G71+H71+I71+J71)/4</f>
        <v>5.5</v>
      </c>
      <c r="L71" s="4">
        <v>1</v>
      </c>
      <c r="M71" s="4">
        <f>L71*K71</f>
        <v>5.5</v>
      </c>
      <c r="N71" s="19"/>
    </row>
    <row r="72" spans="1:14" ht="18.75" x14ac:dyDescent="0.3">
      <c r="A72" s="2" t="s">
        <v>5</v>
      </c>
      <c r="B72" s="2" t="s">
        <v>179</v>
      </c>
      <c r="C72" s="2"/>
      <c r="D72" s="2"/>
      <c r="E72" s="18" t="s">
        <v>11</v>
      </c>
      <c r="F72" s="18"/>
      <c r="G72" s="18"/>
      <c r="H72" s="18"/>
      <c r="I72" s="18"/>
      <c r="J72" s="18"/>
      <c r="K72" s="2"/>
      <c r="L72" s="2"/>
      <c r="M72" s="2"/>
    </row>
    <row r="73" spans="1:14" ht="18.75" x14ac:dyDescent="0.25">
      <c r="A73" s="4" t="s">
        <v>8</v>
      </c>
      <c r="B73" s="6" t="s">
        <v>7</v>
      </c>
      <c r="C73" s="4" t="s">
        <v>9</v>
      </c>
      <c r="D73" s="4" t="s">
        <v>10</v>
      </c>
      <c r="E73" s="4" t="s">
        <v>12</v>
      </c>
      <c r="F73" s="4" t="s">
        <v>13</v>
      </c>
      <c r="G73" s="4"/>
      <c r="H73" s="4"/>
      <c r="I73" s="4"/>
      <c r="J73" s="4"/>
      <c r="K73" s="6" t="s">
        <v>14</v>
      </c>
      <c r="L73" s="4" t="s">
        <v>15</v>
      </c>
      <c r="M73" s="4" t="s">
        <v>16</v>
      </c>
      <c r="N73" s="7" t="s">
        <v>18</v>
      </c>
    </row>
    <row r="74" spans="1:14" ht="18.75" x14ac:dyDescent="0.25">
      <c r="A74" s="4" t="s">
        <v>178</v>
      </c>
      <c r="B74" s="4" t="s">
        <v>0</v>
      </c>
      <c r="C74" s="4">
        <v>12</v>
      </c>
      <c r="D74" s="4" t="s">
        <v>85</v>
      </c>
      <c r="E74" s="4">
        <v>6</v>
      </c>
      <c r="F74" s="4">
        <v>10</v>
      </c>
      <c r="G74" s="4">
        <v>7</v>
      </c>
      <c r="H74" s="4">
        <v>8</v>
      </c>
      <c r="I74" s="4">
        <v>9</v>
      </c>
      <c r="J74" s="4"/>
      <c r="K74" s="4">
        <f>((E74+F74)/2+G74+H74+I74+J74)/4</f>
        <v>8</v>
      </c>
      <c r="L74" s="14">
        <v>2.6</v>
      </c>
      <c r="M74" s="4">
        <f>L74*K74</f>
        <v>20.8</v>
      </c>
      <c r="N74" s="19">
        <f>M74+M75+M76</f>
        <v>41.8</v>
      </c>
    </row>
    <row r="75" spans="1:14" ht="18.75" x14ac:dyDescent="0.25">
      <c r="A75" s="4" t="s">
        <v>178</v>
      </c>
      <c r="B75" s="4" t="s">
        <v>1</v>
      </c>
      <c r="C75" s="4">
        <v>16</v>
      </c>
      <c r="D75" s="4" t="s">
        <v>123</v>
      </c>
      <c r="E75" s="4">
        <v>5</v>
      </c>
      <c r="F75" s="4">
        <v>9</v>
      </c>
      <c r="G75" s="4">
        <v>6</v>
      </c>
      <c r="H75" s="4">
        <v>7</v>
      </c>
      <c r="I75" s="4">
        <v>7</v>
      </c>
      <c r="J75" s="4"/>
      <c r="K75" s="4">
        <f>((E75+F75)/2+G75+H75+I75+J75)/4</f>
        <v>6.75</v>
      </c>
      <c r="L75" s="4">
        <v>2</v>
      </c>
      <c r="M75" s="4">
        <f>L75*K75</f>
        <v>13.5</v>
      </c>
      <c r="N75" s="19"/>
    </row>
    <row r="76" spans="1:14" ht="18.75" x14ac:dyDescent="0.25">
      <c r="A76" s="4" t="s">
        <v>178</v>
      </c>
      <c r="B76" s="4" t="s">
        <v>2</v>
      </c>
      <c r="C76" s="4">
        <v>5</v>
      </c>
      <c r="D76" s="4" t="s">
        <v>85</v>
      </c>
      <c r="E76" s="4">
        <v>7</v>
      </c>
      <c r="F76" s="4">
        <v>9</v>
      </c>
      <c r="G76" s="4">
        <v>7</v>
      </c>
      <c r="H76" s="4">
        <v>7</v>
      </c>
      <c r="I76" s="4">
        <v>8</v>
      </c>
      <c r="J76" s="4"/>
      <c r="K76" s="4">
        <f>((E76+F76)/2+G76+H76+I76+J76)/4</f>
        <v>7.5</v>
      </c>
      <c r="L76" s="4">
        <v>1</v>
      </c>
      <c r="M76" s="4">
        <f>L76*K76</f>
        <v>7.5</v>
      </c>
      <c r="N76" s="19"/>
    </row>
    <row r="77" spans="1:14" ht="18.75" x14ac:dyDescent="0.3">
      <c r="A77" s="2" t="s">
        <v>5</v>
      </c>
      <c r="B77" s="2">
        <v>12</v>
      </c>
      <c r="C77" s="2"/>
      <c r="D77" s="2"/>
      <c r="E77" s="18" t="s">
        <v>11</v>
      </c>
      <c r="F77" s="18"/>
      <c r="G77" s="18"/>
      <c r="H77" s="18"/>
      <c r="I77" s="18"/>
      <c r="J77" s="18"/>
      <c r="K77" s="2"/>
      <c r="L77" s="2"/>
      <c r="M77" s="2"/>
    </row>
    <row r="78" spans="1:14" ht="18.75" x14ac:dyDescent="0.25">
      <c r="A78" s="4" t="s">
        <v>8</v>
      </c>
      <c r="B78" s="6" t="s">
        <v>7</v>
      </c>
      <c r="C78" s="4" t="s">
        <v>9</v>
      </c>
      <c r="D78" s="4" t="s">
        <v>10</v>
      </c>
      <c r="E78" s="4" t="s">
        <v>12</v>
      </c>
      <c r="F78" s="4" t="s">
        <v>13</v>
      </c>
      <c r="G78" s="4"/>
      <c r="H78" s="4"/>
      <c r="I78" s="4"/>
      <c r="J78" s="4"/>
      <c r="K78" s="6" t="s">
        <v>14</v>
      </c>
      <c r="L78" s="4" t="s">
        <v>15</v>
      </c>
      <c r="M78" s="4" t="s">
        <v>16</v>
      </c>
      <c r="N78" s="7" t="s">
        <v>18</v>
      </c>
    </row>
    <row r="79" spans="1:14" ht="18.75" x14ac:dyDescent="0.25">
      <c r="A79" s="4" t="s">
        <v>20</v>
      </c>
      <c r="B79" s="4" t="s">
        <v>0</v>
      </c>
      <c r="C79" s="4">
        <v>16</v>
      </c>
      <c r="D79" s="4" t="s">
        <v>169</v>
      </c>
      <c r="E79" s="4">
        <v>5</v>
      </c>
      <c r="F79" s="4">
        <v>7</v>
      </c>
      <c r="G79" s="4">
        <v>6</v>
      </c>
      <c r="H79" s="4">
        <v>7</v>
      </c>
      <c r="I79" s="4">
        <v>7</v>
      </c>
      <c r="J79" s="4"/>
      <c r="K79" s="4">
        <f>((E79+F79)/2+G79+H79+I79+J79)/4</f>
        <v>6.5</v>
      </c>
      <c r="L79" s="4">
        <v>3</v>
      </c>
      <c r="M79" s="4">
        <f>L79*K79</f>
        <v>19.5</v>
      </c>
      <c r="N79" s="19">
        <f>M79+M80+M81</f>
        <v>37.375</v>
      </c>
    </row>
    <row r="80" spans="1:14" ht="18.75" x14ac:dyDescent="0.25">
      <c r="A80" s="4" t="s">
        <v>20</v>
      </c>
      <c r="B80" s="4" t="s">
        <v>1</v>
      </c>
      <c r="C80" s="4">
        <v>5</v>
      </c>
      <c r="D80" s="4" t="s">
        <v>77</v>
      </c>
      <c r="E80" s="4">
        <v>5</v>
      </c>
      <c r="F80" s="4">
        <v>6</v>
      </c>
      <c r="G80" s="4">
        <v>5</v>
      </c>
      <c r="H80" s="4">
        <v>6</v>
      </c>
      <c r="I80" s="4">
        <v>6</v>
      </c>
      <c r="J80" s="4"/>
      <c r="K80" s="4">
        <f>((E80+F80)/2+G80+H80+I80+J80)/4</f>
        <v>5.625</v>
      </c>
      <c r="L80" s="4">
        <v>2</v>
      </c>
      <c r="M80" s="4">
        <f>L80*K80</f>
        <v>11.25</v>
      </c>
      <c r="N80" s="19"/>
    </row>
    <row r="81" spans="1:14" ht="18.75" x14ac:dyDescent="0.25">
      <c r="A81" s="4" t="s">
        <v>20</v>
      </c>
      <c r="B81" s="4" t="s">
        <v>2</v>
      </c>
      <c r="C81" s="4">
        <v>12</v>
      </c>
      <c r="D81" s="4" t="s">
        <v>76</v>
      </c>
      <c r="E81" s="4">
        <v>5</v>
      </c>
      <c r="F81" s="4">
        <v>8</v>
      </c>
      <c r="G81" s="4">
        <v>7</v>
      </c>
      <c r="H81" s="4">
        <v>7</v>
      </c>
      <c r="I81" s="4">
        <v>6</v>
      </c>
      <c r="J81" s="4"/>
      <c r="K81" s="4">
        <f>((E81+F81)/2+G81+H81+I81+J81)/4</f>
        <v>6.625</v>
      </c>
      <c r="L81" s="4">
        <v>1</v>
      </c>
      <c r="M81" s="4">
        <f>L81*K81</f>
        <v>6.625</v>
      </c>
      <c r="N81" s="19"/>
    </row>
    <row r="82" spans="1:14" ht="18.75" x14ac:dyDescent="0.3">
      <c r="A82" s="2" t="s">
        <v>5</v>
      </c>
      <c r="B82" s="2"/>
      <c r="C82" s="2"/>
      <c r="D82" s="2"/>
      <c r="E82" s="18" t="s">
        <v>11</v>
      </c>
      <c r="F82" s="18"/>
      <c r="G82" s="18"/>
      <c r="H82" s="18"/>
      <c r="I82" s="18"/>
      <c r="J82" s="18"/>
      <c r="K82" s="2"/>
      <c r="L82" s="2"/>
      <c r="M82" s="2"/>
    </row>
    <row r="83" spans="1:14" ht="18.75" x14ac:dyDescent="0.25">
      <c r="A83" s="4" t="s">
        <v>8</v>
      </c>
      <c r="B83" s="6" t="s">
        <v>7</v>
      </c>
      <c r="C83" s="4" t="s">
        <v>9</v>
      </c>
      <c r="D83" s="4" t="s">
        <v>10</v>
      </c>
      <c r="E83" s="4" t="s">
        <v>12</v>
      </c>
      <c r="F83" s="4" t="s">
        <v>13</v>
      </c>
      <c r="G83" s="4"/>
      <c r="H83" s="4"/>
      <c r="I83" s="4"/>
      <c r="J83" s="4"/>
      <c r="K83" s="6" t="s">
        <v>14</v>
      </c>
      <c r="L83" s="4" t="s">
        <v>15</v>
      </c>
      <c r="M83" s="4" t="s">
        <v>16</v>
      </c>
      <c r="N83" s="7" t="s">
        <v>18</v>
      </c>
    </row>
    <row r="84" spans="1:14" ht="18.75" x14ac:dyDescent="0.25">
      <c r="A84" s="4" t="s">
        <v>177</v>
      </c>
      <c r="B84" s="4" t="s">
        <v>0</v>
      </c>
      <c r="C84" s="4">
        <v>5</v>
      </c>
      <c r="D84" s="4" t="s">
        <v>39</v>
      </c>
      <c r="E84" s="4">
        <v>6</v>
      </c>
      <c r="F84" s="4">
        <v>8</v>
      </c>
      <c r="G84" s="4">
        <v>7</v>
      </c>
      <c r="H84" s="4">
        <v>7</v>
      </c>
      <c r="I84" s="4">
        <v>7</v>
      </c>
      <c r="J84" s="4"/>
      <c r="K84" s="4">
        <f>((E84+F84)/2+G84+H84+I84+J84)/4</f>
        <v>7</v>
      </c>
      <c r="L84" s="4">
        <v>3</v>
      </c>
      <c r="M84" s="4">
        <f>L84*K84</f>
        <v>21</v>
      </c>
      <c r="N84" s="19">
        <f>M84+M85+M86</f>
        <v>41</v>
      </c>
    </row>
    <row r="85" spans="1:14" ht="18.75" x14ac:dyDescent="0.25">
      <c r="A85" s="4" t="s">
        <v>177</v>
      </c>
      <c r="B85" s="4" t="s">
        <v>1</v>
      </c>
      <c r="C85" s="4">
        <v>12</v>
      </c>
      <c r="D85" s="4" t="s">
        <v>39</v>
      </c>
      <c r="E85" s="4">
        <v>6</v>
      </c>
      <c r="F85" s="4">
        <v>8</v>
      </c>
      <c r="G85" s="4">
        <v>6</v>
      </c>
      <c r="H85" s="4">
        <v>7</v>
      </c>
      <c r="I85" s="4">
        <v>7</v>
      </c>
      <c r="J85" s="4"/>
      <c r="K85" s="4">
        <f>((E85+F85)/2+G85+H85+I85+J85)/4</f>
        <v>6.75</v>
      </c>
      <c r="L85" s="4">
        <v>2</v>
      </c>
      <c r="M85" s="4">
        <f>L85*K85</f>
        <v>13.5</v>
      </c>
      <c r="N85" s="19"/>
    </row>
    <row r="86" spans="1:14" ht="18.75" x14ac:dyDescent="0.25">
      <c r="A86" s="4" t="s">
        <v>177</v>
      </c>
      <c r="B86" s="4" t="s">
        <v>2</v>
      </c>
      <c r="C86" s="4">
        <v>16</v>
      </c>
      <c r="D86" s="4" t="s">
        <v>40</v>
      </c>
      <c r="E86" s="4">
        <v>5</v>
      </c>
      <c r="F86" s="4">
        <v>9</v>
      </c>
      <c r="G86" s="4">
        <v>6</v>
      </c>
      <c r="H86" s="4">
        <v>7</v>
      </c>
      <c r="I86" s="4">
        <v>6</v>
      </c>
      <c r="J86" s="4"/>
      <c r="K86" s="4">
        <f>((E86+F86)/2+G86+H86+I86+J86)/4</f>
        <v>6.5</v>
      </c>
      <c r="L86" s="4">
        <v>1</v>
      </c>
      <c r="M86" s="4">
        <f>L86*K86</f>
        <v>6.5</v>
      </c>
      <c r="N86" s="19"/>
    </row>
    <row r="87" spans="1:14" ht="18.75" x14ac:dyDescent="0.3">
      <c r="A87" s="2" t="s">
        <v>4</v>
      </c>
      <c r="B87" s="2">
        <v>6</v>
      </c>
      <c r="C87" s="2"/>
      <c r="D87" s="2"/>
      <c r="E87" s="18" t="s">
        <v>11</v>
      </c>
      <c r="F87" s="18"/>
      <c r="G87" s="18"/>
      <c r="H87" s="18"/>
      <c r="I87" s="18"/>
      <c r="J87" s="18"/>
      <c r="K87" s="2"/>
      <c r="L87" s="2"/>
      <c r="M87" s="2"/>
    </row>
    <row r="88" spans="1:14" ht="18.75" x14ac:dyDescent="0.25">
      <c r="A88" s="4" t="s">
        <v>8</v>
      </c>
      <c r="B88" s="6" t="s">
        <v>7</v>
      </c>
      <c r="C88" s="4" t="s">
        <v>9</v>
      </c>
      <c r="D88" s="4" t="s">
        <v>10</v>
      </c>
      <c r="E88" s="4" t="s">
        <v>12</v>
      </c>
      <c r="F88" s="4" t="s">
        <v>13</v>
      </c>
      <c r="G88" s="4"/>
      <c r="H88" s="4"/>
      <c r="I88" s="4"/>
      <c r="J88" s="4"/>
      <c r="K88" s="6" t="s">
        <v>14</v>
      </c>
      <c r="L88" s="4" t="s">
        <v>15</v>
      </c>
      <c r="M88" s="4" t="s">
        <v>16</v>
      </c>
      <c r="N88" s="7" t="s">
        <v>18</v>
      </c>
    </row>
    <row r="89" spans="1:14" ht="18.75" x14ac:dyDescent="0.25">
      <c r="A89" s="4" t="s">
        <v>175</v>
      </c>
      <c r="B89" s="4" t="s">
        <v>0</v>
      </c>
      <c r="C89" s="4">
        <v>6</v>
      </c>
      <c r="D89" s="4" t="s">
        <v>176</v>
      </c>
      <c r="E89" s="4">
        <v>5</v>
      </c>
      <c r="F89" s="4">
        <v>8</v>
      </c>
      <c r="G89" s="4">
        <v>6</v>
      </c>
      <c r="H89" s="4">
        <v>6</v>
      </c>
      <c r="I89" s="4">
        <v>7</v>
      </c>
      <c r="J89" s="4"/>
      <c r="K89" s="4">
        <f>((E89+F89)/2+G89+H89+I89+J89)/4</f>
        <v>6.375</v>
      </c>
      <c r="L89" s="4">
        <v>3</v>
      </c>
      <c r="M89" s="4">
        <f>L89*K89</f>
        <v>19.125</v>
      </c>
      <c r="N89" s="19">
        <f>M89+M90+M91</f>
        <v>37</v>
      </c>
    </row>
    <row r="90" spans="1:14" ht="18.75" x14ac:dyDescent="0.25">
      <c r="A90" s="4" t="s">
        <v>175</v>
      </c>
      <c r="B90" s="4" t="s">
        <v>1</v>
      </c>
      <c r="C90" s="4">
        <v>10</v>
      </c>
      <c r="D90" s="4" t="s">
        <v>143</v>
      </c>
      <c r="E90" s="4">
        <v>4</v>
      </c>
      <c r="F90" s="4">
        <v>7</v>
      </c>
      <c r="G90" s="4">
        <v>5</v>
      </c>
      <c r="H90" s="4">
        <v>6</v>
      </c>
      <c r="I90" s="4">
        <v>7</v>
      </c>
      <c r="J90" s="4"/>
      <c r="K90" s="4">
        <f>((E90+F90)/2+G90+H90+I90+J90)/4</f>
        <v>5.875</v>
      </c>
      <c r="L90" s="4">
        <v>2</v>
      </c>
      <c r="M90" s="4">
        <f>L90*K90</f>
        <v>11.75</v>
      </c>
      <c r="N90" s="19"/>
    </row>
    <row r="91" spans="1:14" ht="18.75" x14ac:dyDescent="0.25">
      <c r="A91" s="4" t="s">
        <v>175</v>
      </c>
      <c r="B91" s="4" t="s">
        <v>2</v>
      </c>
      <c r="C91" s="4">
        <v>8</v>
      </c>
      <c r="D91" s="4" t="s">
        <v>139</v>
      </c>
      <c r="E91" s="4">
        <v>6</v>
      </c>
      <c r="F91" s="4">
        <v>7</v>
      </c>
      <c r="G91" s="4">
        <v>6</v>
      </c>
      <c r="H91" s="4">
        <v>6</v>
      </c>
      <c r="I91" s="4">
        <v>6</v>
      </c>
      <c r="J91" s="4"/>
      <c r="K91" s="4">
        <f>((E91+F91)/2+G91+H91+I91+J91)/4</f>
        <v>6.125</v>
      </c>
      <c r="L91" s="4">
        <v>1</v>
      </c>
      <c r="M91" s="4">
        <f>L91*K91</f>
        <v>6.125</v>
      </c>
      <c r="N91" s="19"/>
    </row>
    <row r="92" spans="1:14" ht="18.75" x14ac:dyDescent="0.3">
      <c r="A92" s="2" t="s">
        <v>4</v>
      </c>
      <c r="B92" s="2"/>
      <c r="C92" s="2"/>
      <c r="D92" s="2"/>
      <c r="E92" s="18" t="s">
        <v>11</v>
      </c>
      <c r="F92" s="18"/>
      <c r="G92" s="18"/>
      <c r="H92" s="18"/>
      <c r="I92" s="18"/>
      <c r="J92" s="18"/>
      <c r="K92" s="2"/>
      <c r="L92" s="2"/>
      <c r="M92" s="2"/>
    </row>
    <row r="93" spans="1:14" ht="18.75" x14ac:dyDescent="0.25">
      <c r="A93" s="4" t="s">
        <v>8</v>
      </c>
      <c r="B93" s="6" t="s">
        <v>7</v>
      </c>
      <c r="C93" s="4" t="s">
        <v>9</v>
      </c>
      <c r="D93" s="4" t="s">
        <v>10</v>
      </c>
      <c r="E93" s="4" t="s">
        <v>12</v>
      </c>
      <c r="F93" s="4" t="s">
        <v>13</v>
      </c>
      <c r="G93" s="4"/>
      <c r="H93" s="4"/>
      <c r="I93" s="4"/>
      <c r="J93" s="4"/>
      <c r="K93" s="6" t="s">
        <v>14</v>
      </c>
      <c r="L93" s="4" t="s">
        <v>15</v>
      </c>
      <c r="M93" s="4" t="s">
        <v>16</v>
      </c>
      <c r="N93" s="7" t="s">
        <v>18</v>
      </c>
    </row>
    <row r="94" spans="1:14" ht="18.75" x14ac:dyDescent="0.25">
      <c r="A94" s="4" t="s">
        <v>42</v>
      </c>
      <c r="B94" s="4" t="s">
        <v>0</v>
      </c>
      <c r="C94" s="4">
        <v>8</v>
      </c>
      <c r="D94" s="4" t="s">
        <v>129</v>
      </c>
      <c r="E94" s="4">
        <v>3</v>
      </c>
      <c r="F94" s="4">
        <v>4</v>
      </c>
      <c r="G94" s="4">
        <v>3</v>
      </c>
      <c r="H94" s="4">
        <v>4</v>
      </c>
      <c r="I94" s="4">
        <v>3</v>
      </c>
      <c r="J94" s="4"/>
      <c r="K94" s="4">
        <f>((E94+F94)/2+G94+H94+I94+J94)/4</f>
        <v>3.375</v>
      </c>
      <c r="L94" s="4">
        <v>3</v>
      </c>
      <c r="M94" s="4">
        <f>L94*K94</f>
        <v>10.125</v>
      </c>
      <c r="N94" s="19">
        <f>M94+M95+M96</f>
        <v>25</v>
      </c>
    </row>
    <row r="95" spans="1:14" ht="18.75" x14ac:dyDescent="0.25">
      <c r="A95" s="4" t="s">
        <v>42</v>
      </c>
      <c r="B95" s="4" t="s">
        <v>1</v>
      </c>
      <c r="C95" s="4">
        <v>6</v>
      </c>
      <c r="D95" s="4" t="s">
        <v>43</v>
      </c>
      <c r="E95" s="4">
        <v>4</v>
      </c>
      <c r="F95" s="4">
        <v>6</v>
      </c>
      <c r="G95" s="4">
        <v>5</v>
      </c>
      <c r="H95" s="4">
        <v>5</v>
      </c>
      <c r="I95" s="4">
        <v>6</v>
      </c>
      <c r="J95" s="4"/>
      <c r="K95" s="4">
        <f>((E95+F95)/2+G95+H95+I95+J95)/4</f>
        <v>5.25</v>
      </c>
      <c r="L95" s="4">
        <v>2</v>
      </c>
      <c r="M95" s="4">
        <f>L95*K95</f>
        <v>10.5</v>
      </c>
      <c r="N95" s="19"/>
    </row>
    <row r="96" spans="1:14" ht="18.75" x14ac:dyDescent="0.25">
      <c r="A96" s="4" t="s">
        <v>42</v>
      </c>
      <c r="B96" s="4" t="s">
        <v>2</v>
      </c>
      <c r="C96" s="4">
        <v>10</v>
      </c>
      <c r="D96" s="4" t="s">
        <v>165</v>
      </c>
      <c r="E96" s="4">
        <v>3</v>
      </c>
      <c r="F96" s="4">
        <v>6</v>
      </c>
      <c r="G96" s="4">
        <v>4</v>
      </c>
      <c r="H96" s="4">
        <v>4</v>
      </c>
      <c r="I96" s="4">
        <v>5</v>
      </c>
      <c r="J96" s="4"/>
      <c r="K96" s="4">
        <f>((E96+F96)/2+G96+H96+I96+J96)/4</f>
        <v>4.375</v>
      </c>
      <c r="L96" s="4">
        <v>1</v>
      </c>
      <c r="M96" s="4">
        <f>L96*K96</f>
        <v>4.375</v>
      </c>
      <c r="N96" s="19"/>
    </row>
    <row r="97" spans="1:14" ht="18.75" x14ac:dyDescent="0.3">
      <c r="A97" s="2" t="s">
        <v>4</v>
      </c>
      <c r="B97" s="2"/>
      <c r="C97" s="2"/>
      <c r="D97" s="2"/>
      <c r="E97" s="18" t="s">
        <v>11</v>
      </c>
      <c r="F97" s="18"/>
      <c r="G97" s="18"/>
      <c r="H97" s="18"/>
      <c r="I97" s="18"/>
      <c r="J97" s="18"/>
      <c r="K97" s="2"/>
      <c r="L97" s="2"/>
      <c r="M97" s="2"/>
    </row>
    <row r="98" spans="1:14" ht="18.75" x14ac:dyDescent="0.25">
      <c r="A98" s="4" t="s">
        <v>8</v>
      </c>
      <c r="B98" s="6" t="s">
        <v>7</v>
      </c>
      <c r="C98" s="4" t="s">
        <v>9</v>
      </c>
      <c r="D98" s="4" t="s">
        <v>10</v>
      </c>
      <c r="E98" s="4" t="s">
        <v>12</v>
      </c>
      <c r="F98" s="4" t="s">
        <v>13</v>
      </c>
      <c r="G98" s="4"/>
      <c r="H98" s="4"/>
      <c r="I98" s="4"/>
      <c r="J98" s="4"/>
      <c r="K98" s="6" t="s">
        <v>14</v>
      </c>
      <c r="L98" s="4" t="s">
        <v>15</v>
      </c>
      <c r="M98" s="4" t="s">
        <v>16</v>
      </c>
      <c r="N98" s="7" t="s">
        <v>18</v>
      </c>
    </row>
    <row r="99" spans="1:14" ht="18.75" x14ac:dyDescent="0.25">
      <c r="A99" s="4" t="s">
        <v>34</v>
      </c>
      <c r="B99" s="4" t="s">
        <v>0</v>
      </c>
      <c r="C99" s="4">
        <v>10</v>
      </c>
      <c r="D99" s="4" t="s">
        <v>62</v>
      </c>
      <c r="E99" s="4">
        <v>7</v>
      </c>
      <c r="F99" s="4">
        <v>8</v>
      </c>
      <c r="G99" s="4">
        <v>8</v>
      </c>
      <c r="H99" s="4">
        <v>7</v>
      </c>
      <c r="I99" s="4">
        <v>7</v>
      </c>
      <c r="J99" s="4"/>
      <c r="K99" s="4">
        <f>((E99+F99)/2+G99+H99+I99+J99)/4</f>
        <v>7.375</v>
      </c>
      <c r="L99" s="4">
        <v>3</v>
      </c>
      <c r="M99" s="4">
        <f>L99*K99</f>
        <v>22.125</v>
      </c>
      <c r="N99" s="19">
        <f>M99+M100+M101</f>
        <v>43.25</v>
      </c>
    </row>
    <row r="100" spans="1:14" ht="18.75" x14ac:dyDescent="0.25">
      <c r="A100" s="4" t="s">
        <v>34</v>
      </c>
      <c r="B100" s="4" t="s">
        <v>1</v>
      </c>
      <c r="C100" s="4">
        <v>8</v>
      </c>
      <c r="D100" s="4" t="s">
        <v>154</v>
      </c>
      <c r="E100" s="4">
        <v>7</v>
      </c>
      <c r="F100" s="4">
        <v>8</v>
      </c>
      <c r="G100" s="4">
        <v>7</v>
      </c>
      <c r="H100" s="4">
        <v>7</v>
      </c>
      <c r="I100" s="4">
        <v>7</v>
      </c>
      <c r="J100" s="4"/>
      <c r="K100" s="4">
        <f>((E100+F100)/2+G100+H100+I100+J100)/4</f>
        <v>7.125</v>
      </c>
      <c r="L100" s="4">
        <v>2</v>
      </c>
      <c r="M100" s="4">
        <f>L100*K100</f>
        <v>14.25</v>
      </c>
      <c r="N100" s="19"/>
    </row>
    <row r="101" spans="1:14" ht="18.75" x14ac:dyDescent="0.25">
      <c r="A101" s="4" t="s">
        <v>34</v>
      </c>
      <c r="B101" s="4" t="s">
        <v>2</v>
      </c>
      <c r="C101" s="4">
        <v>6</v>
      </c>
      <c r="D101" s="4" t="s">
        <v>174</v>
      </c>
      <c r="E101" s="4">
        <v>6</v>
      </c>
      <c r="F101" s="4">
        <v>7</v>
      </c>
      <c r="G101" s="4">
        <v>7</v>
      </c>
      <c r="H101" s="4">
        <v>7</v>
      </c>
      <c r="I101" s="4">
        <v>7</v>
      </c>
      <c r="J101" s="4"/>
      <c r="K101" s="4">
        <f>((E101+F101)/2+G101+H101+I101+J101)/4</f>
        <v>6.875</v>
      </c>
      <c r="L101" s="4">
        <v>1</v>
      </c>
      <c r="M101" s="4">
        <f>L101*K101</f>
        <v>6.875</v>
      </c>
      <c r="N101" s="19"/>
    </row>
  </sheetData>
  <mergeCells count="38">
    <mergeCell ref="A1:M1"/>
    <mergeCell ref="E2:J2"/>
    <mergeCell ref="N4:N6"/>
    <mergeCell ref="E7:J7"/>
    <mergeCell ref="N9:N11"/>
    <mergeCell ref="E12:J12"/>
    <mergeCell ref="N14:N16"/>
    <mergeCell ref="E17:J17"/>
    <mergeCell ref="N19:N21"/>
    <mergeCell ref="E22:J22"/>
    <mergeCell ref="N24:N26"/>
    <mergeCell ref="E27:J27"/>
    <mergeCell ref="N29:N31"/>
    <mergeCell ref="E32:J32"/>
    <mergeCell ref="N34:N36"/>
    <mergeCell ref="E37:J37"/>
    <mergeCell ref="N39:N41"/>
    <mergeCell ref="E42:J42"/>
    <mergeCell ref="E47:J47"/>
    <mergeCell ref="E52:J52"/>
    <mergeCell ref="E57:J57"/>
    <mergeCell ref="N59:N61"/>
    <mergeCell ref="E62:J62"/>
    <mergeCell ref="N64:N66"/>
    <mergeCell ref="E67:J67"/>
    <mergeCell ref="N69:N71"/>
    <mergeCell ref="E72:J72"/>
    <mergeCell ref="N74:N76"/>
    <mergeCell ref="E77:J77"/>
    <mergeCell ref="N79:N81"/>
    <mergeCell ref="E97:J97"/>
    <mergeCell ref="N99:N101"/>
    <mergeCell ref="E82:J82"/>
    <mergeCell ref="N84:N86"/>
    <mergeCell ref="E87:J87"/>
    <mergeCell ref="N89:N91"/>
    <mergeCell ref="E92:J92"/>
    <mergeCell ref="N94:N96"/>
  </mergeCells>
  <pageMargins left="0.70866141732283472" right="0.70866141732283472" top="0.74803149606299213" bottom="0.74803149606299213" header="0.31496062992125984" footer="0.31496062992125984"/>
  <pageSetup paperSize="9" scale="61" fitToHeight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topLeftCell="A93" zoomScale="80" zoomScaleNormal="80" workbookViewId="0">
      <selection activeCell="R91" sqref="R91"/>
    </sheetView>
  </sheetViews>
  <sheetFormatPr defaultRowHeight="15" x14ac:dyDescent="0.25"/>
  <cols>
    <col min="1" max="1" width="19.42578125" customWidth="1"/>
    <col min="2" max="2" width="5.42578125" customWidth="1"/>
    <col min="3" max="3" width="8.140625" customWidth="1"/>
    <col min="4" max="4" width="19.85546875" customWidth="1"/>
    <col min="5" max="10" width="5.85546875" customWidth="1"/>
    <col min="11" max="11" width="8" customWidth="1"/>
    <col min="12" max="13" width="7.85546875" customWidth="1"/>
    <col min="15" max="15" width="3.5703125" customWidth="1"/>
  </cols>
  <sheetData>
    <row r="1" spans="1:14" ht="18.75" x14ac:dyDescent="0.3">
      <c r="A1" s="20" t="s">
        <v>195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8.75" x14ac:dyDescent="0.3">
      <c r="A2" s="2" t="s">
        <v>3</v>
      </c>
      <c r="B2" s="2"/>
      <c r="C2" s="2"/>
      <c r="D2" s="2"/>
      <c r="E2" s="18" t="s">
        <v>11</v>
      </c>
      <c r="F2" s="18"/>
      <c r="G2" s="18"/>
      <c r="H2" s="18"/>
      <c r="I2" s="18"/>
      <c r="J2" s="18"/>
      <c r="K2" s="2"/>
      <c r="L2" s="2"/>
      <c r="M2" s="2"/>
    </row>
    <row r="3" spans="1:14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6" t="s">
        <v>14</v>
      </c>
      <c r="L3" s="4" t="s">
        <v>15</v>
      </c>
      <c r="M3" s="4" t="s">
        <v>16</v>
      </c>
      <c r="N3" s="7" t="s">
        <v>18</v>
      </c>
    </row>
    <row r="4" spans="1:14" ht="18.75" x14ac:dyDescent="0.25">
      <c r="A4" s="4" t="s">
        <v>93</v>
      </c>
      <c r="B4" s="4" t="s">
        <v>0</v>
      </c>
      <c r="C4" s="4">
        <v>12</v>
      </c>
      <c r="D4" s="4" t="s">
        <v>95</v>
      </c>
      <c r="E4" s="4">
        <v>8</v>
      </c>
      <c r="F4" s="4">
        <v>9</v>
      </c>
      <c r="G4" s="4">
        <v>8</v>
      </c>
      <c r="H4" s="4">
        <v>8</v>
      </c>
      <c r="I4" s="4">
        <v>9</v>
      </c>
      <c r="J4" s="4"/>
      <c r="K4" s="4">
        <f>((E4+F4)/2+G4+H4+I4+J4)/4</f>
        <v>8.375</v>
      </c>
      <c r="L4" s="4">
        <v>3</v>
      </c>
      <c r="M4" s="4">
        <f>L4*K4</f>
        <v>25.125</v>
      </c>
      <c r="N4" s="19">
        <f>M4+M5+M6</f>
        <v>45</v>
      </c>
    </row>
    <row r="5" spans="1:14" ht="18.75" x14ac:dyDescent="0.25">
      <c r="A5" s="4" t="s">
        <v>93</v>
      </c>
      <c r="B5" s="4" t="s">
        <v>1</v>
      </c>
      <c r="C5" s="4">
        <v>14</v>
      </c>
      <c r="D5" s="4" t="s">
        <v>120</v>
      </c>
      <c r="E5" s="4">
        <v>6</v>
      </c>
      <c r="F5" s="4">
        <v>8</v>
      </c>
      <c r="G5" s="4">
        <v>7</v>
      </c>
      <c r="H5" s="4">
        <v>7</v>
      </c>
      <c r="I5" s="4">
        <v>6</v>
      </c>
      <c r="J5" s="4"/>
      <c r="K5" s="4">
        <f t="shared" ref="K5:K6" si="0">((E5+F5)/2+G5+H5+I5+J5)/4</f>
        <v>6.75</v>
      </c>
      <c r="L5" s="4">
        <v>2</v>
      </c>
      <c r="M5" s="4">
        <f>L5*K5</f>
        <v>13.5</v>
      </c>
      <c r="N5" s="19"/>
    </row>
    <row r="6" spans="1:14" ht="18.75" x14ac:dyDescent="0.25">
      <c r="A6" s="4" t="s">
        <v>93</v>
      </c>
      <c r="B6" s="4" t="s">
        <v>2</v>
      </c>
      <c r="C6" s="4">
        <v>15</v>
      </c>
      <c r="D6" s="4" t="s">
        <v>120</v>
      </c>
      <c r="E6" s="4">
        <v>6</v>
      </c>
      <c r="F6" s="4">
        <v>7</v>
      </c>
      <c r="G6" s="4">
        <v>6</v>
      </c>
      <c r="H6" s="4">
        <v>6</v>
      </c>
      <c r="I6" s="4">
        <v>7</v>
      </c>
      <c r="J6" s="4"/>
      <c r="K6" s="4">
        <f t="shared" si="0"/>
        <v>6.375</v>
      </c>
      <c r="L6" s="4">
        <v>1</v>
      </c>
      <c r="M6" s="4">
        <f>L6*K6</f>
        <v>6.375</v>
      </c>
      <c r="N6" s="19"/>
    </row>
    <row r="7" spans="1:14" ht="18.75" x14ac:dyDescent="0.3">
      <c r="A7" s="2" t="s">
        <v>3</v>
      </c>
      <c r="B7" s="2"/>
      <c r="C7" s="2"/>
      <c r="D7" s="2"/>
      <c r="E7" s="18" t="s">
        <v>11</v>
      </c>
      <c r="F7" s="18"/>
      <c r="G7" s="18"/>
      <c r="H7" s="18"/>
      <c r="I7" s="18"/>
      <c r="J7" s="18"/>
      <c r="K7" s="2"/>
      <c r="L7" s="2"/>
      <c r="M7" s="2"/>
    </row>
    <row r="8" spans="1:14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6" t="s">
        <v>14</v>
      </c>
      <c r="L8" s="4" t="s">
        <v>15</v>
      </c>
      <c r="M8" s="4" t="s">
        <v>16</v>
      </c>
      <c r="N8" s="7" t="s">
        <v>18</v>
      </c>
    </row>
    <row r="9" spans="1:14" ht="18.75" x14ac:dyDescent="0.25">
      <c r="A9" s="4" t="s">
        <v>96</v>
      </c>
      <c r="B9" s="4" t="s">
        <v>0</v>
      </c>
      <c r="C9" s="4">
        <v>15</v>
      </c>
      <c r="D9" s="4" t="s">
        <v>192</v>
      </c>
      <c r="E9" s="4">
        <v>4</v>
      </c>
      <c r="F9" s="4">
        <v>7</v>
      </c>
      <c r="G9" s="4">
        <v>5</v>
      </c>
      <c r="H9" s="4">
        <v>5</v>
      </c>
      <c r="I9" s="4">
        <v>5</v>
      </c>
      <c r="J9" s="4"/>
      <c r="K9" s="4">
        <f>((E9+F9)/2+G9+H9+I9+J9)/4</f>
        <v>5.125</v>
      </c>
      <c r="L9" s="4">
        <v>3</v>
      </c>
      <c r="M9" s="4">
        <f>L9*K9</f>
        <v>15.375</v>
      </c>
      <c r="N9" s="19">
        <f>M9+M10+M11</f>
        <v>32.375</v>
      </c>
    </row>
    <row r="10" spans="1:14" ht="18.75" x14ac:dyDescent="0.25">
      <c r="A10" s="4" t="s">
        <v>96</v>
      </c>
      <c r="B10" s="4" t="s">
        <v>1</v>
      </c>
      <c r="C10" s="4">
        <v>8</v>
      </c>
      <c r="D10" s="4" t="s">
        <v>192</v>
      </c>
      <c r="E10" s="4">
        <v>5</v>
      </c>
      <c r="F10" s="4">
        <v>7</v>
      </c>
      <c r="G10" s="4">
        <v>5</v>
      </c>
      <c r="H10" s="4">
        <v>6</v>
      </c>
      <c r="I10" s="4">
        <v>7</v>
      </c>
      <c r="J10" s="4"/>
      <c r="K10" s="4">
        <f t="shared" ref="K10:K11" si="1">((E10+F10)/2+G10+H10+I10+J10)/4</f>
        <v>6</v>
      </c>
      <c r="L10" s="4">
        <v>2</v>
      </c>
      <c r="M10" s="4">
        <f>L10*K10</f>
        <v>12</v>
      </c>
      <c r="N10" s="19"/>
    </row>
    <row r="11" spans="1:14" ht="18.75" x14ac:dyDescent="0.25">
      <c r="A11" s="4" t="s">
        <v>96</v>
      </c>
      <c r="B11" s="4" t="s">
        <v>2</v>
      </c>
      <c r="C11" s="4">
        <v>12</v>
      </c>
      <c r="D11" s="4" t="s">
        <v>171</v>
      </c>
      <c r="E11" s="4">
        <v>4</v>
      </c>
      <c r="F11" s="4">
        <v>8</v>
      </c>
      <c r="G11" s="4">
        <v>4</v>
      </c>
      <c r="H11" s="4">
        <v>5</v>
      </c>
      <c r="I11" s="4">
        <v>5</v>
      </c>
      <c r="J11" s="4"/>
      <c r="K11" s="4">
        <f t="shared" si="1"/>
        <v>5</v>
      </c>
      <c r="L11" s="4">
        <v>1</v>
      </c>
      <c r="M11" s="4">
        <f>L11*K11</f>
        <v>5</v>
      </c>
      <c r="N11" s="19"/>
    </row>
    <row r="12" spans="1:14" ht="18.75" x14ac:dyDescent="0.3">
      <c r="A12" s="2" t="s">
        <v>3</v>
      </c>
      <c r="B12" s="2"/>
      <c r="C12" s="2"/>
      <c r="D12" s="2"/>
      <c r="E12" s="18" t="s">
        <v>11</v>
      </c>
      <c r="F12" s="18"/>
      <c r="G12" s="18"/>
      <c r="H12" s="18"/>
      <c r="I12" s="18"/>
      <c r="J12" s="18"/>
      <c r="K12" s="2"/>
      <c r="L12" s="2"/>
      <c r="M12" s="2"/>
    </row>
    <row r="13" spans="1:14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6" t="s">
        <v>14</v>
      </c>
      <c r="L13" s="4" t="s">
        <v>15</v>
      </c>
      <c r="M13" s="4" t="s">
        <v>16</v>
      </c>
      <c r="N13" s="7" t="s">
        <v>18</v>
      </c>
    </row>
    <row r="14" spans="1:14" ht="18.75" x14ac:dyDescent="0.25">
      <c r="A14" s="4" t="s">
        <v>32</v>
      </c>
      <c r="B14" s="4" t="s">
        <v>0</v>
      </c>
      <c r="C14" s="4">
        <v>8</v>
      </c>
      <c r="D14" s="4" t="s">
        <v>137</v>
      </c>
      <c r="E14" s="4">
        <v>8</v>
      </c>
      <c r="F14" s="4">
        <v>9</v>
      </c>
      <c r="G14" s="4">
        <v>9</v>
      </c>
      <c r="H14" s="4">
        <v>9</v>
      </c>
      <c r="I14" s="4">
        <v>9</v>
      </c>
      <c r="J14" s="4"/>
      <c r="K14" s="4">
        <f>((E14+F14)/2+G14+H14+I14+J14)/4</f>
        <v>8.875</v>
      </c>
      <c r="L14" s="4">
        <v>3</v>
      </c>
      <c r="M14" s="4">
        <f>L14*K14</f>
        <v>26.625</v>
      </c>
      <c r="N14" s="19">
        <f>M14+M15+M16</f>
        <v>49.75</v>
      </c>
    </row>
    <row r="15" spans="1:14" ht="18.75" x14ac:dyDescent="0.25">
      <c r="A15" s="4" t="s">
        <v>32</v>
      </c>
      <c r="B15" s="4" t="s">
        <v>1</v>
      </c>
      <c r="C15" s="4">
        <v>12</v>
      </c>
      <c r="D15" s="4" t="s">
        <v>57</v>
      </c>
      <c r="E15" s="4">
        <v>7</v>
      </c>
      <c r="F15" s="4">
        <v>9</v>
      </c>
      <c r="G15" s="4">
        <v>8</v>
      </c>
      <c r="H15" s="4">
        <v>8</v>
      </c>
      <c r="I15" s="4">
        <v>8</v>
      </c>
      <c r="J15" s="4"/>
      <c r="K15" s="4">
        <f t="shared" ref="K15:K16" si="2">((E15+F15)/2+G15+H15+I15+J15)/4</f>
        <v>8</v>
      </c>
      <c r="L15" s="4">
        <v>2</v>
      </c>
      <c r="M15" s="4">
        <f>L15*K15</f>
        <v>16</v>
      </c>
      <c r="N15" s="19"/>
    </row>
    <row r="16" spans="1:14" ht="18.75" x14ac:dyDescent="0.25">
      <c r="A16" s="4" t="s">
        <v>32</v>
      </c>
      <c r="B16" s="4" t="s">
        <v>2</v>
      </c>
      <c r="C16" s="4">
        <v>14</v>
      </c>
      <c r="D16" s="4" t="s">
        <v>56</v>
      </c>
      <c r="E16" s="4">
        <v>6</v>
      </c>
      <c r="F16" s="4">
        <v>9</v>
      </c>
      <c r="G16" s="4">
        <v>7</v>
      </c>
      <c r="H16" s="4">
        <v>7</v>
      </c>
      <c r="I16" s="4">
        <v>7</v>
      </c>
      <c r="J16" s="4"/>
      <c r="K16" s="4">
        <f t="shared" si="2"/>
        <v>7.125</v>
      </c>
      <c r="L16" s="4">
        <v>1</v>
      </c>
      <c r="M16" s="4">
        <f>L16*K16</f>
        <v>7.125</v>
      </c>
      <c r="N16" s="19"/>
    </row>
    <row r="17" spans="1:14" ht="18.75" x14ac:dyDescent="0.3">
      <c r="A17" s="2" t="s">
        <v>3</v>
      </c>
      <c r="B17" s="2"/>
      <c r="C17" s="2"/>
      <c r="D17" s="2"/>
      <c r="E17" s="18" t="s">
        <v>11</v>
      </c>
      <c r="F17" s="18"/>
      <c r="G17" s="18"/>
      <c r="H17" s="18"/>
      <c r="I17" s="18"/>
      <c r="J17" s="18"/>
      <c r="K17" s="2"/>
      <c r="L17" s="2"/>
      <c r="M17" s="2"/>
    </row>
    <row r="18" spans="1:14" ht="18.75" x14ac:dyDescent="0.25">
      <c r="A18" s="4" t="s">
        <v>8</v>
      </c>
      <c r="B18" s="6" t="s">
        <v>7</v>
      </c>
      <c r="C18" s="4" t="s">
        <v>9</v>
      </c>
      <c r="D18" s="4" t="s">
        <v>10</v>
      </c>
      <c r="E18" s="4" t="s">
        <v>12</v>
      </c>
      <c r="F18" s="4" t="s">
        <v>13</v>
      </c>
      <c r="G18" s="4"/>
      <c r="H18" s="4"/>
      <c r="I18" s="4"/>
      <c r="J18" s="4"/>
      <c r="K18" s="6" t="s">
        <v>14</v>
      </c>
      <c r="L18" s="4" t="s">
        <v>15</v>
      </c>
      <c r="M18" s="4" t="s">
        <v>16</v>
      </c>
      <c r="N18" s="7" t="s">
        <v>18</v>
      </c>
    </row>
    <row r="19" spans="1:14" ht="18.75" x14ac:dyDescent="0.25">
      <c r="A19" s="4" t="s">
        <v>38</v>
      </c>
      <c r="B19" s="4" t="s">
        <v>0</v>
      </c>
      <c r="C19" s="4">
        <v>14</v>
      </c>
      <c r="D19" s="4" t="s">
        <v>41</v>
      </c>
      <c r="E19" s="4">
        <v>3</v>
      </c>
      <c r="F19" s="4">
        <v>5</v>
      </c>
      <c r="G19" s="4">
        <v>4</v>
      </c>
      <c r="H19" s="4">
        <v>4</v>
      </c>
      <c r="I19" s="4">
        <v>4</v>
      </c>
      <c r="J19" s="4"/>
      <c r="K19" s="4">
        <f>((E19+F19)/2+G19+H19+I19+J19)/4</f>
        <v>4</v>
      </c>
      <c r="L19" s="4">
        <v>3</v>
      </c>
      <c r="M19" s="4">
        <f>L19*K19</f>
        <v>12</v>
      </c>
      <c r="N19" s="19">
        <f>M19+M20+M21</f>
        <v>30.5</v>
      </c>
    </row>
    <row r="20" spans="1:14" ht="18.75" x14ac:dyDescent="0.25">
      <c r="A20" s="4" t="s">
        <v>38</v>
      </c>
      <c r="B20" s="4" t="s">
        <v>1</v>
      </c>
      <c r="C20" s="4">
        <v>15</v>
      </c>
      <c r="D20" s="4" t="s">
        <v>146</v>
      </c>
      <c r="E20" s="4">
        <v>4</v>
      </c>
      <c r="F20" s="4">
        <v>6</v>
      </c>
      <c r="G20" s="4">
        <v>5</v>
      </c>
      <c r="H20" s="4">
        <v>6</v>
      </c>
      <c r="I20" s="4">
        <v>5</v>
      </c>
      <c r="J20" s="4"/>
      <c r="K20" s="4">
        <f t="shared" ref="K20:K21" si="3">((E20+F20)/2+G20+H20+I20+J20)/4</f>
        <v>5.25</v>
      </c>
      <c r="L20" s="4">
        <v>2</v>
      </c>
      <c r="M20" s="4">
        <f>L20*K20</f>
        <v>10.5</v>
      </c>
      <c r="N20" s="19"/>
    </row>
    <row r="21" spans="1:14" ht="18.75" x14ac:dyDescent="0.25">
      <c r="A21" s="4" t="s">
        <v>38</v>
      </c>
      <c r="B21" s="4" t="s">
        <v>2</v>
      </c>
      <c r="C21" s="4">
        <v>8</v>
      </c>
      <c r="D21" s="4" t="s">
        <v>39</v>
      </c>
      <c r="E21" s="4">
        <v>7</v>
      </c>
      <c r="F21" s="4">
        <v>9</v>
      </c>
      <c r="G21" s="4">
        <v>7</v>
      </c>
      <c r="H21" s="4">
        <v>8</v>
      </c>
      <c r="I21" s="4">
        <v>9</v>
      </c>
      <c r="J21" s="4"/>
      <c r="K21" s="4">
        <f t="shared" si="3"/>
        <v>8</v>
      </c>
      <c r="L21" s="4">
        <v>1</v>
      </c>
      <c r="M21" s="4">
        <f>L21*K21</f>
        <v>8</v>
      </c>
      <c r="N21" s="19"/>
    </row>
    <row r="22" spans="1:14" ht="18.75" x14ac:dyDescent="0.3">
      <c r="A22" s="2" t="s">
        <v>50</v>
      </c>
      <c r="B22" s="2"/>
      <c r="C22" s="2"/>
      <c r="D22" s="2"/>
      <c r="E22" s="18" t="s">
        <v>11</v>
      </c>
      <c r="F22" s="18"/>
      <c r="G22" s="18"/>
      <c r="H22" s="18"/>
      <c r="I22" s="18"/>
      <c r="J22" s="18"/>
      <c r="K22" s="2"/>
      <c r="L22" s="2"/>
      <c r="M22" s="2"/>
    </row>
    <row r="23" spans="1:14" ht="18.75" x14ac:dyDescent="0.25">
      <c r="A23" s="4" t="s">
        <v>8</v>
      </c>
      <c r="B23" s="6" t="s">
        <v>7</v>
      </c>
      <c r="C23" s="4" t="s">
        <v>9</v>
      </c>
      <c r="D23" s="4" t="s">
        <v>10</v>
      </c>
      <c r="E23" s="4" t="s">
        <v>12</v>
      </c>
      <c r="F23" s="4" t="s">
        <v>13</v>
      </c>
      <c r="G23" s="4"/>
      <c r="H23" s="4"/>
      <c r="I23" s="4"/>
      <c r="J23" s="4"/>
      <c r="K23" s="6" t="s">
        <v>14</v>
      </c>
      <c r="L23" s="4" t="s">
        <v>15</v>
      </c>
      <c r="M23" s="4" t="s">
        <v>16</v>
      </c>
      <c r="N23" s="7" t="s">
        <v>18</v>
      </c>
    </row>
    <row r="24" spans="1:14" ht="18.75" x14ac:dyDescent="0.25">
      <c r="A24" s="4" t="s">
        <v>21</v>
      </c>
      <c r="B24" s="4" t="s">
        <v>0</v>
      </c>
      <c r="C24" s="4">
        <v>11</v>
      </c>
      <c r="D24" s="4" t="s">
        <v>143</v>
      </c>
      <c r="E24" s="4">
        <v>4</v>
      </c>
      <c r="F24" s="4">
        <v>7</v>
      </c>
      <c r="G24" s="4">
        <v>6</v>
      </c>
      <c r="H24" s="4">
        <v>7</v>
      </c>
      <c r="I24" s="4">
        <v>6</v>
      </c>
      <c r="J24" s="4"/>
      <c r="K24" s="4">
        <f>((E24+F24)/2+G24+H24+I24+J24)/4</f>
        <v>6.125</v>
      </c>
      <c r="L24" s="4">
        <v>3</v>
      </c>
      <c r="M24" s="4">
        <f>L24*K24</f>
        <v>18.375</v>
      </c>
      <c r="N24" s="19">
        <f>M24+M25+M26</f>
        <v>35.25</v>
      </c>
    </row>
    <row r="25" spans="1:14" ht="18.75" x14ac:dyDescent="0.25">
      <c r="A25" s="4" t="s">
        <v>21</v>
      </c>
      <c r="B25" s="4" t="s">
        <v>1</v>
      </c>
      <c r="C25" s="4">
        <v>9</v>
      </c>
      <c r="D25" s="4" t="s">
        <v>141</v>
      </c>
      <c r="E25" s="4">
        <v>4</v>
      </c>
      <c r="F25" s="4">
        <v>7</v>
      </c>
      <c r="G25" s="4">
        <v>5</v>
      </c>
      <c r="H25" s="4">
        <v>6</v>
      </c>
      <c r="I25" s="4">
        <v>5</v>
      </c>
      <c r="J25" s="4"/>
      <c r="K25" s="4">
        <f t="shared" ref="K25:K26" si="4">((E25+F25)/2+G25+H25+I25+J25)/4</f>
        <v>5.375</v>
      </c>
      <c r="L25" s="4">
        <v>2</v>
      </c>
      <c r="M25" s="4">
        <f>L25*K25</f>
        <v>10.75</v>
      </c>
      <c r="N25" s="19"/>
    </row>
    <row r="26" spans="1:14" ht="18.75" x14ac:dyDescent="0.25">
      <c r="A26" s="4" t="s">
        <v>21</v>
      </c>
      <c r="B26" s="4" t="s">
        <v>2</v>
      </c>
      <c r="C26" s="4">
        <v>17</v>
      </c>
      <c r="D26" s="4" t="s">
        <v>141</v>
      </c>
      <c r="E26" s="4">
        <v>6</v>
      </c>
      <c r="F26" s="4">
        <v>7</v>
      </c>
      <c r="G26" s="4">
        <v>6</v>
      </c>
      <c r="H26" s="4">
        <v>6</v>
      </c>
      <c r="I26" s="4">
        <v>6</v>
      </c>
      <c r="J26" s="4"/>
      <c r="K26" s="4">
        <f t="shared" si="4"/>
        <v>6.125</v>
      </c>
      <c r="L26" s="4">
        <v>1</v>
      </c>
      <c r="M26" s="4">
        <f>L26*K26</f>
        <v>6.125</v>
      </c>
      <c r="N26" s="19"/>
    </row>
    <row r="27" spans="1:14" ht="18.75" x14ac:dyDescent="0.3">
      <c r="A27" s="2" t="s">
        <v>50</v>
      </c>
      <c r="B27" s="2"/>
      <c r="C27" s="2"/>
      <c r="D27" s="2"/>
      <c r="E27" s="18" t="s">
        <v>11</v>
      </c>
      <c r="F27" s="18"/>
      <c r="G27" s="18"/>
      <c r="H27" s="18"/>
      <c r="I27" s="18"/>
      <c r="J27" s="18"/>
      <c r="K27" s="2"/>
      <c r="L27" s="2"/>
      <c r="M27" s="2"/>
    </row>
    <row r="28" spans="1:14" ht="18.75" x14ac:dyDescent="0.25">
      <c r="A28" s="4" t="s">
        <v>8</v>
      </c>
      <c r="B28" s="6" t="s">
        <v>7</v>
      </c>
      <c r="C28" s="4" t="s">
        <v>9</v>
      </c>
      <c r="D28" s="4" t="s">
        <v>10</v>
      </c>
      <c r="E28" s="4" t="s">
        <v>12</v>
      </c>
      <c r="F28" s="4" t="s">
        <v>13</v>
      </c>
      <c r="G28" s="4"/>
      <c r="H28" s="4"/>
      <c r="I28" s="4"/>
      <c r="J28" s="4"/>
      <c r="K28" s="6" t="s">
        <v>14</v>
      </c>
      <c r="L28" s="4" t="s">
        <v>15</v>
      </c>
      <c r="M28" s="4" t="s">
        <v>16</v>
      </c>
      <c r="N28" s="7" t="s">
        <v>18</v>
      </c>
    </row>
    <row r="29" spans="1:14" ht="18.75" x14ac:dyDescent="0.25">
      <c r="A29" s="4" t="s">
        <v>168</v>
      </c>
      <c r="B29" s="4" t="s">
        <v>0</v>
      </c>
      <c r="C29" s="4">
        <v>9</v>
      </c>
      <c r="D29" s="4" t="s">
        <v>169</v>
      </c>
      <c r="E29" s="4">
        <v>5</v>
      </c>
      <c r="F29" s="4">
        <v>7</v>
      </c>
      <c r="G29" s="4">
        <v>7</v>
      </c>
      <c r="H29" s="4">
        <v>7</v>
      </c>
      <c r="I29" s="4">
        <v>6</v>
      </c>
      <c r="J29" s="4"/>
      <c r="K29" s="4">
        <f>((E29+F29)/2+G29+H29+I29+J29)/4</f>
        <v>6.5</v>
      </c>
      <c r="L29" s="4">
        <v>3</v>
      </c>
      <c r="M29" s="4">
        <f>L29*K29</f>
        <v>19.5</v>
      </c>
      <c r="N29" s="19">
        <f>M29+M30+M31</f>
        <v>37.25</v>
      </c>
    </row>
    <row r="30" spans="1:14" ht="18.75" x14ac:dyDescent="0.25">
      <c r="A30" s="4" t="s">
        <v>168</v>
      </c>
      <c r="B30" s="4" t="s">
        <v>1</v>
      </c>
      <c r="C30" s="4">
        <v>17</v>
      </c>
      <c r="D30" s="4" t="s">
        <v>132</v>
      </c>
      <c r="E30" s="4">
        <v>4</v>
      </c>
      <c r="F30" s="4">
        <v>7</v>
      </c>
      <c r="G30" s="4">
        <v>7</v>
      </c>
      <c r="H30" s="4">
        <v>6</v>
      </c>
      <c r="I30" s="4">
        <v>5</v>
      </c>
      <c r="J30" s="4"/>
      <c r="K30" s="4">
        <f t="shared" ref="K30:K31" si="5">((E30+F30)/2+G30+H30+I30+J30)/4</f>
        <v>5.875</v>
      </c>
      <c r="L30" s="4">
        <v>2</v>
      </c>
      <c r="M30" s="4">
        <f>L30*K30</f>
        <v>11.75</v>
      </c>
      <c r="N30" s="19"/>
    </row>
    <row r="31" spans="1:14" ht="18.75" x14ac:dyDescent="0.25">
      <c r="A31" s="4" t="s">
        <v>168</v>
      </c>
      <c r="B31" s="4" t="s">
        <v>2</v>
      </c>
      <c r="C31" s="4">
        <v>13</v>
      </c>
      <c r="D31" s="4" t="s">
        <v>193</v>
      </c>
      <c r="E31" s="4">
        <v>5</v>
      </c>
      <c r="F31" s="4">
        <v>7</v>
      </c>
      <c r="G31" s="4">
        <v>6</v>
      </c>
      <c r="H31" s="4">
        <v>6</v>
      </c>
      <c r="I31" s="4">
        <v>6</v>
      </c>
      <c r="J31" s="4"/>
      <c r="K31" s="4">
        <f t="shared" si="5"/>
        <v>6</v>
      </c>
      <c r="L31" s="4">
        <v>1</v>
      </c>
      <c r="M31" s="4">
        <f>L31*K31</f>
        <v>6</v>
      </c>
      <c r="N31" s="19"/>
    </row>
    <row r="32" spans="1:14" ht="18.75" x14ac:dyDescent="0.3">
      <c r="A32" s="2" t="s">
        <v>50</v>
      </c>
      <c r="B32" s="2"/>
      <c r="C32" s="2"/>
      <c r="D32" s="2"/>
      <c r="E32" s="18" t="s">
        <v>11</v>
      </c>
      <c r="F32" s="18"/>
      <c r="G32" s="18"/>
      <c r="H32" s="18"/>
      <c r="I32" s="18"/>
      <c r="J32" s="18"/>
      <c r="K32" s="2"/>
      <c r="L32" s="2"/>
      <c r="M32" s="2"/>
    </row>
    <row r="33" spans="1:14" ht="18.75" x14ac:dyDescent="0.25">
      <c r="A33" s="4" t="s">
        <v>8</v>
      </c>
      <c r="B33" s="6" t="s">
        <v>7</v>
      </c>
      <c r="C33" s="4" t="s">
        <v>9</v>
      </c>
      <c r="D33" s="4" t="s">
        <v>10</v>
      </c>
      <c r="E33" s="4" t="s">
        <v>12</v>
      </c>
      <c r="F33" s="4" t="s">
        <v>13</v>
      </c>
      <c r="G33" s="4"/>
      <c r="H33" s="4"/>
      <c r="I33" s="4"/>
      <c r="J33" s="4"/>
      <c r="K33" s="6" t="s">
        <v>14</v>
      </c>
      <c r="L33" s="4" t="s">
        <v>15</v>
      </c>
      <c r="M33" s="4" t="s">
        <v>16</v>
      </c>
      <c r="N33" s="7" t="s">
        <v>18</v>
      </c>
    </row>
    <row r="34" spans="1:14" ht="18.75" x14ac:dyDescent="0.25">
      <c r="A34" s="4" t="s">
        <v>31</v>
      </c>
      <c r="B34" s="4" t="s">
        <v>0</v>
      </c>
      <c r="C34" s="4">
        <v>17</v>
      </c>
      <c r="D34" s="4" t="s">
        <v>114</v>
      </c>
      <c r="E34" s="4">
        <v>5</v>
      </c>
      <c r="F34" s="4">
        <v>7</v>
      </c>
      <c r="G34" s="4">
        <v>6</v>
      </c>
      <c r="H34" s="4">
        <v>6</v>
      </c>
      <c r="I34" s="4">
        <v>6</v>
      </c>
      <c r="J34" s="4"/>
      <c r="K34" s="4">
        <f>((E34+F34)/2+G34+H34+I34+J34)/4</f>
        <v>6</v>
      </c>
      <c r="L34" s="4">
        <v>3</v>
      </c>
      <c r="M34" s="4">
        <f>L34*K34</f>
        <v>18</v>
      </c>
      <c r="N34" s="19">
        <f>M34+M35+M36</f>
        <v>38</v>
      </c>
    </row>
    <row r="35" spans="1:14" ht="18.75" x14ac:dyDescent="0.25">
      <c r="A35" s="4" t="s">
        <v>31</v>
      </c>
      <c r="B35" s="4" t="s">
        <v>1</v>
      </c>
      <c r="C35" s="4">
        <v>13</v>
      </c>
      <c r="D35" s="4" t="s">
        <v>71</v>
      </c>
      <c r="E35" s="4">
        <v>5</v>
      </c>
      <c r="F35" s="4">
        <v>7</v>
      </c>
      <c r="G35" s="4">
        <v>6</v>
      </c>
      <c r="H35" s="4">
        <v>6</v>
      </c>
      <c r="I35" s="4">
        <v>7</v>
      </c>
      <c r="J35" s="4"/>
      <c r="K35" s="4">
        <f t="shared" ref="K35:K36" si="6">((E35+F35)/2+G35+H35+I35+J35)/4</f>
        <v>6.25</v>
      </c>
      <c r="L35" s="4">
        <v>2</v>
      </c>
      <c r="M35" s="4">
        <f>L35*K35</f>
        <v>12.5</v>
      </c>
      <c r="N35" s="19"/>
    </row>
    <row r="36" spans="1:14" ht="18.75" x14ac:dyDescent="0.25">
      <c r="A36" s="4" t="s">
        <v>31</v>
      </c>
      <c r="B36" s="4" t="s">
        <v>2</v>
      </c>
      <c r="C36" s="4">
        <v>11</v>
      </c>
      <c r="D36" s="4" t="s">
        <v>71</v>
      </c>
      <c r="E36" s="4">
        <v>6</v>
      </c>
      <c r="F36" s="4">
        <v>8</v>
      </c>
      <c r="G36" s="4">
        <v>8</v>
      </c>
      <c r="H36" s="4">
        <v>7</v>
      </c>
      <c r="I36" s="4">
        <v>8</v>
      </c>
      <c r="J36" s="4"/>
      <c r="K36" s="4">
        <f t="shared" si="6"/>
        <v>7.5</v>
      </c>
      <c r="L36" s="4">
        <v>1</v>
      </c>
      <c r="M36" s="4">
        <f>L36*K36</f>
        <v>7.5</v>
      </c>
      <c r="N36" s="19"/>
    </row>
    <row r="37" spans="1:14" ht="18.75" x14ac:dyDescent="0.3">
      <c r="A37" s="2" t="s">
        <v>50</v>
      </c>
      <c r="B37" s="2"/>
      <c r="C37" s="2"/>
      <c r="D37" s="2"/>
      <c r="E37" s="18" t="s">
        <v>11</v>
      </c>
      <c r="F37" s="18"/>
      <c r="G37" s="18"/>
      <c r="H37" s="18"/>
      <c r="I37" s="18"/>
      <c r="J37" s="18"/>
      <c r="K37" s="2"/>
      <c r="L37" s="2"/>
      <c r="M37" s="2"/>
    </row>
    <row r="38" spans="1:14" ht="18.75" x14ac:dyDescent="0.25">
      <c r="A38" s="4" t="s">
        <v>8</v>
      </c>
      <c r="B38" s="6" t="s">
        <v>7</v>
      </c>
      <c r="C38" s="4" t="s">
        <v>9</v>
      </c>
      <c r="D38" s="4" t="s">
        <v>10</v>
      </c>
      <c r="E38" s="4" t="s">
        <v>12</v>
      </c>
      <c r="F38" s="4" t="s">
        <v>13</v>
      </c>
      <c r="G38" s="4"/>
      <c r="H38" s="4"/>
      <c r="I38" s="4"/>
      <c r="J38" s="4"/>
      <c r="K38" s="6" t="s">
        <v>14</v>
      </c>
      <c r="L38" s="4" t="s">
        <v>15</v>
      </c>
      <c r="M38" s="4" t="s">
        <v>16</v>
      </c>
      <c r="N38" s="7" t="s">
        <v>18</v>
      </c>
    </row>
    <row r="39" spans="1:14" ht="18.75" x14ac:dyDescent="0.25">
      <c r="A39" s="4" t="s">
        <v>26</v>
      </c>
      <c r="B39" s="4" t="s">
        <v>0</v>
      </c>
      <c r="C39" s="4">
        <v>13</v>
      </c>
      <c r="D39" s="4" t="s">
        <v>37</v>
      </c>
      <c r="E39" s="4">
        <v>4</v>
      </c>
      <c r="F39" s="4">
        <v>6</v>
      </c>
      <c r="G39" s="4">
        <v>5</v>
      </c>
      <c r="H39" s="4">
        <v>6</v>
      </c>
      <c r="I39" s="4">
        <v>6</v>
      </c>
      <c r="J39" s="4"/>
      <c r="K39" s="4">
        <f>((E39+F39)/2+G39+H39+I39+J39)/4</f>
        <v>5.5</v>
      </c>
      <c r="L39" s="4">
        <v>2.8</v>
      </c>
      <c r="M39" s="4">
        <f>L39*K39</f>
        <v>15.399999999999999</v>
      </c>
      <c r="N39" s="19">
        <f>M39+M40+M41</f>
        <v>32.274999999999999</v>
      </c>
    </row>
    <row r="40" spans="1:14" ht="18.75" x14ac:dyDescent="0.25">
      <c r="A40" s="4" t="s">
        <v>26</v>
      </c>
      <c r="B40" s="4" t="s">
        <v>1</v>
      </c>
      <c r="C40" s="4">
        <v>11</v>
      </c>
      <c r="D40" s="4" t="s">
        <v>35</v>
      </c>
      <c r="E40" s="4">
        <v>5</v>
      </c>
      <c r="F40" s="4">
        <v>6</v>
      </c>
      <c r="G40" s="4">
        <v>6</v>
      </c>
      <c r="H40" s="4">
        <v>6</v>
      </c>
      <c r="I40" s="4">
        <v>5</v>
      </c>
      <c r="J40" s="4"/>
      <c r="K40" s="4">
        <f t="shared" ref="K40:K41" si="7">((E40+F40)/2+G40+H40+I40+J40)/4</f>
        <v>5.625</v>
      </c>
      <c r="L40" s="4">
        <v>2</v>
      </c>
      <c r="M40" s="4">
        <f>L40*K40</f>
        <v>11.25</v>
      </c>
      <c r="N40" s="19"/>
    </row>
    <row r="41" spans="1:14" ht="18.75" x14ac:dyDescent="0.25">
      <c r="A41" s="4" t="s">
        <v>26</v>
      </c>
      <c r="B41" s="4" t="s">
        <v>2</v>
      </c>
      <c r="C41" s="4">
        <v>9</v>
      </c>
      <c r="D41" s="4" t="s">
        <v>35</v>
      </c>
      <c r="E41" s="4">
        <v>4</v>
      </c>
      <c r="F41" s="4">
        <v>7</v>
      </c>
      <c r="G41" s="4">
        <v>6</v>
      </c>
      <c r="H41" s="4">
        <v>5</v>
      </c>
      <c r="I41" s="4">
        <v>6</v>
      </c>
      <c r="J41" s="4"/>
      <c r="K41" s="4">
        <f t="shared" si="7"/>
        <v>5.625</v>
      </c>
      <c r="L41" s="4">
        <v>1</v>
      </c>
      <c r="M41" s="4">
        <f>L41*K41</f>
        <v>5.625</v>
      </c>
      <c r="N41" s="19"/>
    </row>
    <row r="42" spans="1:14" ht="18.75" x14ac:dyDescent="0.3">
      <c r="A42" s="2" t="s">
        <v>19</v>
      </c>
      <c r="B42" s="2"/>
      <c r="C42" s="2"/>
      <c r="D42" s="2"/>
      <c r="E42" s="18" t="s">
        <v>11</v>
      </c>
      <c r="F42" s="18"/>
      <c r="G42" s="18"/>
      <c r="H42" s="18"/>
      <c r="I42" s="18"/>
      <c r="J42" s="18"/>
      <c r="K42" s="2"/>
      <c r="L42" s="2"/>
      <c r="M42" s="2"/>
    </row>
    <row r="43" spans="1:14" ht="18.75" x14ac:dyDescent="0.25">
      <c r="A43" s="4" t="s">
        <v>8</v>
      </c>
      <c r="B43" s="6" t="s">
        <v>7</v>
      </c>
      <c r="C43" s="4" t="s">
        <v>9</v>
      </c>
      <c r="D43" s="4" t="s">
        <v>10</v>
      </c>
      <c r="E43" s="4" t="s">
        <v>12</v>
      </c>
      <c r="F43" s="4" t="s">
        <v>13</v>
      </c>
      <c r="G43" s="4"/>
      <c r="H43" s="4"/>
      <c r="I43" s="4"/>
      <c r="J43" s="4"/>
      <c r="K43" s="6" t="s">
        <v>14</v>
      </c>
      <c r="L43" s="4" t="s">
        <v>15</v>
      </c>
      <c r="M43" s="4" t="s">
        <v>16</v>
      </c>
      <c r="N43" s="7" t="s">
        <v>18</v>
      </c>
    </row>
    <row r="44" spans="1:14" ht="18.75" x14ac:dyDescent="0.25">
      <c r="A44" s="4" t="s">
        <v>73</v>
      </c>
      <c r="B44" s="4" t="s">
        <v>0</v>
      </c>
      <c r="C44" s="4">
        <v>5</v>
      </c>
      <c r="D44" s="4" t="s">
        <v>74</v>
      </c>
      <c r="E44" s="4">
        <v>4</v>
      </c>
      <c r="F44" s="4">
        <v>7</v>
      </c>
      <c r="G44" s="4">
        <v>6</v>
      </c>
      <c r="H44" s="4">
        <v>6</v>
      </c>
      <c r="I44" s="4"/>
      <c r="J44" s="4"/>
      <c r="K44" s="4">
        <f>((E44+F44)/2+G44+H44+I44+J44)/3</f>
        <v>5.833333333333333</v>
      </c>
      <c r="L44" s="4">
        <v>3</v>
      </c>
      <c r="M44" s="4">
        <f>L44*K44</f>
        <v>17.5</v>
      </c>
      <c r="N44" s="19">
        <f>M44+M45+M46</f>
        <v>35.333333333333336</v>
      </c>
    </row>
    <row r="45" spans="1:14" ht="18.75" x14ac:dyDescent="0.25">
      <c r="A45" s="4" t="s">
        <v>73</v>
      </c>
      <c r="B45" s="4" t="s">
        <v>1</v>
      </c>
      <c r="C45" s="4">
        <v>17</v>
      </c>
      <c r="D45" s="4" t="s">
        <v>159</v>
      </c>
      <c r="E45" s="4">
        <v>4</v>
      </c>
      <c r="F45" s="4">
        <v>6</v>
      </c>
      <c r="G45" s="4">
        <v>5</v>
      </c>
      <c r="H45" s="4">
        <v>5</v>
      </c>
      <c r="I45" s="4"/>
      <c r="J45" s="4"/>
      <c r="K45" s="4">
        <f>((E45+F45)/2+G45+H45+I45+J45)/3</f>
        <v>5</v>
      </c>
      <c r="L45" s="4">
        <v>2</v>
      </c>
      <c r="M45" s="4">
        <f>L45*K45</f>
        <v>10</v>
      </c>
      <c r="N45" s="19"/>
    </row>
    <row r="46" spans="1:14" ht="18.75" x14ac:dyDescent="0.25">
      <c r="A46" s="4" t="s">
        <v>73</v>
      </c>
      <c r="B46" s="4" t="s">
        <v>2</v>
      </c>
      <c r="C46" s="4">
        <v>3</v>
      </c>
      <c r="D46" s="4" t="s">
        <v>74</v>
      </c>
      <c r="E46" s="4">
        <v>7</v>
      </c>
      <c r="F46" s="4">
        <v>8</v>
      </c>
      <c r="G46" s="4">
        <v>8</v>
      </c>
      <c r="H46" s="4">
        <v>8</v>
      </c>
      <c r="I46" s="4"/>
      <c r="J46" s="4"/>
      <c r="K46" s="4">
        <f>((E46+F46)/2+G46+H46+I46+J46)/3</f>
        <v>7.833333333333333</v>
      </c>
      <c r="L46" s="4">
        <v>1</v>
      </c>
      <c r="M46" s="4">
        <f>L46*K46</f>
        <v>7.833333333333333</v>
      </c>
      <c r="N46" s="19"/>
    </row>
    <row r="47" spans="1:14" ht="18.75" x14ac:dyDescent="0.3">
      <c r="A47" s="2" t="s">
        <v>19</v>
      </c>
      <c r="B47" s="2"/>
      <c r="C47" s="2"/>
      <c r="D47" s="2"/>
      <c r="E47" s="18" t="s">
        <v>11</v>
      </c>
      <c r="F47" s="18"/>
      <c r="G47" s="18"/>
      <c r="H47" s="18"/>
      <c r="I47" s="18"/>
      <c r="J47" s="18"/>
      <c r="K47" s="2"/>
      <c r="L47" s="2"/>
      <c r="M47" s="2"/>
    </row>
    <row r="48" spans="1:14" ht="18.75" x14ac:dyDescent="0.25">
      <c r="A48" s="4" t="s">
        <v>8</v>
      </c>
      <c r="B48" s="6" t="s">
        <v>7</v>
      </c>
      <c r="C48" s="4" t="s">
        <v>9</v>
      </c>
      <c r="D48" s="4" t="s">
        <v>10</v>
      </c>
      <c r="E48" s="4" t="s">
        <v>12</v>
      </c>
      <c r="F48" s="4" t="s">
        <v>13</v>
      </c>
      <c r="G48" s="4"/>
      <c r="H48" s="4"/>
      <c r="I48" s="4"/>
      <c r="J48" s="4"/>
      <c r="K48" s="6" t="s">
        <v>14</v>
      </c>
      <c r="L48" s="4" t="s">
        <v>15</v>
      </c>
      <c r="M48" s="4" t="s">
        <v>16</v>
      </c>
      <c r="N48" s="7" t="s">
        <v>18</v>
      </c>
    </row>
    <row r="49" spans="1:14" ht="18.75" x14ac:dyDescent="0.25">
      <c r="A49" s="4" t="s">
        <v>194</v>
      </c>
      <c r="B49" s="4" t="s">
        <v>0</v>
      </c>
      <c r="C49" s="4">
        <v>3</v>
      </c>
      <c r="D49" s="4" t="s">
        <v>134</v>
      </c>
      <c r="E49" s="4">
        <v>4</v>
      </c>
      <c r="F49" s="4">
        <v>6</v>
      </c>
      <c r="G49" s="4">
        <v>6</v>
      </c>
      <c r="H49" s="4">
        <v>4</v>
      </c>
      <c r="I49" s="4"/>
      <c r="J49" s="4"/>
      <c r="K49" s="4">
        <f>((E49+F49)/2+G49+H49+I49+J49)/3</f>
        <v>5</v>
      </c>
      <c r="L49" s="4">
        <v>3</v>
      </c>
      <c r="M49" s="4">
        <f>L49*K49</f>
        <v>15</v>
      </c>
      <c r="N49" s="19">
        <f>M49+M50+M51</f>
        <v>35.166666666666664</v>
      </c>
    </row>
    <row r="50" spans="1:14" ht="18.75" x14ac:dyDescent="0.25">
      <c r="A50" s="4" t="s">
        <v>194</v>
      </c>
      <c r="B50" s="4" t="s">
        <v>1</v>
      </c>
      <c r="C50" s="4">
        <v>5</v>
      </c>
      <c r="D50" s="4" t="s">
        <v>47</v>
      </c>
      <c r="E50" s="4">
        <v>6</v>
      </c>
      <c r="F50" s="4">
        <v>7</v>
      </c>
      <c r="G50" s="4">
        <v>7</v>
      </c>
      <c r="H50" s="4">
        <v>7</v>
      </c>
      <c r="I50" s="4"/>
      <c r="J50" s="4"/>
      <c r="K50" s="4">
        <f>((E50+F50)/2+G50+H50+I50+J50)/3</f>
        <v>6.833333333333333</v>
      </c>
      <c r="L50" s="4">
        <v>2</v>
      </c>
      <c r="M50" s="4">
        <f>L50*K50</f>
        <v>13.666666666666666</v>
      </c>
      <c r="N50" s="19"/>
    </row>
    <row r="51" spans="1:14" ht="18.75" x14ac:dyDescent="0.25">
      <c r="A51" s="4" t="s">
        <v>194</v>
      </c>
      <c r="B51" s="4" t="s">
        <v>2</v>
      </c>
      <c r="C51" s="4">
        <v>17</v>
      </c>
      <c r="D51" s="4" t="s">
        <v>152</v>
      </c>
      <c r="E51" s="4">
        <v>6</v>
      </c>
      <c r="F51" s="4">
        <v>7</v>
      </c>
      <c r="G51" s="4">
        <v>6</v>
      </c>
      <c r="H51" s="4">
        <v>7</v>
      </c>
      <c r="I51" s="4"/>
      <c r="J51" s="4"/>
      <c r="K51" s="4">
        <f>((E51+F51)/2+G51+H51+I51+J51)/3</f>
        <v>6.5</v>
      </c>
      <c r="L51" s="4">
        <v>1</v>
      </c>
      <c r="M51" s="4">
        <f>L51*K51</f>
        <v>6.5</v>
      </c>
      <c r="N51" s="19"/>
    </row>
    <row r="52" spans="1:14" ht="18.75" x14ac:dyDescent="0.3">
      <c r="A52" s="2" t="s">
        <v>19</v>
      </c>
      <c r="B52" s="2"/>
      <c r="C52" s="2"/>
      <c r="D52" s="2"/>
      <c r="E52" s="18" t="s">
        <v>11</v>
      </c>
      <c r="F52" s="18"/>
      <c r="G52" s="18"/>
      <c r="H52" s="18"/>
      <c r="I52" s="18"/>
      <c r="J52" s="18"/>
      <c r="K52" s="2"/>
      <c r="L52" s="2"/>
      <c r="M52" s="2"/>
    </row>
    <row r="53" spans="1:14" ht="18.75" x14ac:dyDescent="0.25">
      <c r="A53" s="4" t="s">
        <v>8</v>
      </c>
      <c r="B53" s="6" t="s">
        <v>7</v>
      </c>
      <c r="C53" s="4" t="s">
        <v>9</v>
      </c>
      <c r="D53" s="4" t="s">
        <v>10</v>
      </c>
      <c r="E53" s="4" t="s">
        <v>12</v>
      </c>
      <c r="F53" s="4" t="s">
        <v>13</v>
      </c>
      <c r="G53" s="4"/>
      <c r="H53" s="4"/>
      <c r="I53" s="4"/>
      <c r="J53" s="4"/>
      <c r="K53" s="6" t="s">
        <v>14</v>
      </c>
      <c r="L53" s="4" t="s">
        <v>15</v>
      </c>
      <c r="M53" s="4" t="s">
        <v>16</v>
      </c>
      <c r="N53" s="7" t="s">
        <v>18</v>
      </c>
    </row>
    <row r="54" spans="1:14" ht="18.75" x14ac:dyDescent="0.25">
      <c r="A54" s="4" t="s">
        <v>34</v>
      </c>
      <c r="B54" s="4" t="s">
        <v>0</v>
      </c>
      <c r="C54" s="4">
        <v>17</v>
      </c>
      <c r="D54" s="4" t="s">
        <v>109</v>
      </c>
      <c r="E54" s="4">
        <v>7</v>
      </c>
      <c r="F54" s="4">
        <v>8</v>
      </c>
      <c r="G54" s="4">
        <v>7</v>
      </c>
      <c r="H54" s="4">
        <v>7</v>
      </c>
      <c r="I54" s="4"/>
      <c r="J54" s="4"/>
      <c r="K54" s="4">
        <f>((E54+F54)/2+G54+H54+I54+J54)/3</f>
        <v>7.166666666666667</v>
      </c>
      <c r="L54" s="4">
        <v>3</v>
      </c>
      <c r="M54" s="4">
        <f>L54*K54</f>
        <v>21.5</v>
      </c>
      <c r="N54" s="19">
        <f>M54+M55+M56</f>
        <v>41</v>
      </c>
    </row>
    <row r="55" spans="1:14" ht="18.75" x14ac:dyDescent="0.25">
      <c r="A55" s="4" t="s">
        <v>34</v>
      </c>
      <c r="B55" s="4" t="s">
        <v>1</v>
      </c>
      <c r="C55" s="4">
        <v>3</v>
      </c>
      <c r="D55" s="4" t="s">
        <v>154</v>
      </c>
      <c r="E55" s="4">
        <v>4</v>
      </c>
      <c r="F55" s="4">
        <v>8</v>
      </c>
      <c r="G55" s="4">
        <v>6</v>
      </c>
      <c r="H55" s="4">
        <v>6</v>
      </c>
      <c r="I55" s="4"/>
      <c r="J55" s="4"/>
      <c r="K55" s="4">
        <f>((E55+F55)/2+G55+H55+I55+J55)/3</f>
        <v>6</v>
      </c>
      <c r="L55" s="4">
        <v>2</v>
      </c>
      <c r="M55" s="4">
        <f>L55*K55</f>
        <v>12</v>
      </c>
      <c r="N55" s="19"/>
    </row>
    <row r="56" spans="1:14" ht="18.75" x14ac:dyDescent="0.25">
      <c r="A56" s="4" t="s">
        <v>34</v>
      </c>
      <c r="B56" s="4" t="s">
        <v>2</v>
      </c>
      <c r="C56" s="4">
        <v>5</v>
      </c>
      <c r="D56" s="4" t="s">
        <v>174</v>
      </c>
      <c r="E56" s="4">
        <v>7</v>
      </c>
      <c r="F56" s="4">
        <v>8</v>
      </c>
      <c r="G56" s="4">
        <v>8</v>
      </c>
      <c r="H56" s="4">
        <v>7</v>
      </c>
      <c r="I56" s="4"/>
      <c r="J56" s="4"/>
      <c r="K56" s="4">
        <f>((E56+F56)/2+G56+H56+I56+J56)/3</f>
        <v>7.5</v>
      </c>
      <c r="L56" s="4">
        <v>1</v>
      </c>
      <c r="M56" s="4">
        <f>L56*K56</f>
        <v>7.5</v>
      </c>
      <c r="N56" s="19"/>
    </row>
    <row r="57" spans="1:14" ht="18.75" x14ac:dyDescent="0.3">
      <c r="A57" s="2" t="s">
        <v>6</v>
      </c>
      <c r="B57" s="2"/>
      <c r="C57" s="2"/>
      <c r="D57" s="2"/>
      <c r="E57" s="18" t="s">
        <v>11</v>
      </c>
      <c r="F57" s="18"/>
      <c r="G57" s="18"/>
      <c r="H57" s="18"/>
      <c r="I57" s="18"/>
      <c r="J57" s="18"/>
      <c r="K57" s="2"/>
      <c r="L57" s="2"/>
      <c r="M57" s="2"/>
    </row>
    <row r="58" spans="1:14" ht="18.75" x14ac:dyDescent="0.25">
      <c r="A58" s="4" t="s">
        <v>8</v>
      </c>
      <c r="B58" s="6" t="s">
        <v>7</v>
      </c>
      <c r="C58" s="4" t="s">
        <v>9</v>
      </c>
      <c r="D58" s="4" t="s">
        <v>10</v>
      </c>
      <c r="E58" s="4" t="s">
        <v>12</v>
      </c>
      <c r="F58" s="4" t="s">
        <v>13</v>
      </c>
      <c r="G58" s="4"/>
      <c r="H58" s="4"/>
      <c r="I58" s="4"/>
      <c r="J58" s="4"/>
      <c r="K58" s="6" t="s">
        <v>14</v>
      </c>
      <c r="L58" s="4" t="s">
        <v>15</v>
      </c>
      <c r="M58" s="4" t="s">
        <v>16</v>
      </c>
      <c r="N58" s="7" t="s">
        <v>18</v>
      </c>
    </row>
    <row r="59" spans="1:14" ht="18.75" x14ac:dyDescent="0.25">
      <c r="A59" s="4" t="s">
        <v>42</v>
      </c>
      <c r="B59" s="4" t="s">
        <v>0</v>
      </c>
      <c r="C59" s="4">
        <v>10</v>
      </c>
      <c r="D59" s="4" t="s">
        <v>165</v>
      </c>
      <c r="E59" s="4">
        <v>2</v>
      </c>
      <c r="F59" s="4">
        <v>5</v>
      </c>
      <c r="G59" s="4">
        <v>4</v>
      </c>
      <c r="H59" s="4">
        <v>4</v>
      </c>
      <c r="I59" s="4">
        <v>3</v>
      </c>
      <c r="J59" s="4"/>
      <c r="K59" s="4">
        <f>((E59+F59)/2+G59+H59+I59+J59)/4</f>
        <v>3.625</v>
      </c>
      <c r="L59" s="4">
        <v>3</v>
      </c>
      <c r="M59" s="4">
        <f>L59*K59</f>
        <v>10.875</v>
      </c>
      <c r="N59" s="19">
        <f>M59+M60+M61</f>
        <v>22.75</v>
      </c>
    </row>
    <row r="60" spans="1:14" ht="18.75" x14ac:dyDescent="0.25">
      <c r="A60" s="4" t="s">
        <v>42</v>
      </c>
      <c r="B60" s="4" t="s">
        <v>1</v>
      </c>
      <c r="C60" s="4">
        <v>3</v>
      </c>
      <c r="D60" s="4" t="s">
        <v>128</v>
      </c>
      <c r="E60" s="4">
        <v>2</v>
      </c>
      <c r="F60" s="4">
        <v>5</v>
      </c>
      <c r="G60" s="4">
        <v>3</v>
      </c>
      <c r="H60" s="4">
        <v>5</v>
      </c>
      <c r="I60" s="4">
        <v>4</v>
      </c>
      <c r="J60" s="4"/>
      <c r="K60" s="4">
        <f t="shared" ref="K60:K61" si="8">((E60+F60)/2+G60+H60+I60+J60)/4</f>
        <v>3.875</v>
      </c>
      <c r="L60" s="4">
        <v>2</v>
      </c>
      <c r="M60" s="4">
        <f>L60*K60</f>
        <v>7.75</v>
      </c>
      <c r="N60" s="19"/>
    </row>
    <row r="61" spans="1:14" ht="18.75" x14ac:dyDescent="0.25">
      <c r="A61" s="4" t="s">
        <v>42</v>
      </c>
      <c r="B61" s="4" t="s">
        <v>2</v>
      </c>
      <c r="C61" s="4">
        <v>5</v>
      </c>
      <c r="D61" s="4" t="s">
        <v>165</v>
      </c>
      <c r="E61" s="4">
        <v>3</v>
      </c>
      <c r="F61" s="4">
        <v>6</v>
      </c>
      <c r="G61" s="4">
        <v>4</v>
      </c>
      <c r="H61" s="4">
        <v>4</v>
      </c>
      <c r="I61" s="4">
        <v>4</v>
      </c>
      <c r="J61" s="4"/>
      <c r="K61" s="4">
        <f t="shared" si="8"/>
        <v>4.125</v>
      </c>
      <c r="L61" s="4">
        <v>1</v>
      </c>
      <c r="M61" s="4">
        <f>L61*K61</f>
        <v>4.125</v>
      </c>
      <c r="N61" s="19"/>
    </row>
    <row r="62" spans="1:14" ht="18.75" x14ac:dyDescent="0.3">
      <c r="A62" s="2" t="s">
        <v>6</v>
      </c>
      <c r="B62" s="2"/>
      <c r="C62" s="2"/>
      <c r="D62" s="2"/>
      <c r="E62" s="18" t="s">
        <v>11</v>
      </c>
      <c r="F62" s="18"/>
      <c r="G62" s="18"/>
      <c r="H62" s="18"/>
      <c r="I62" s="18"/>
      <c r="J62" s="18"/>
      <c r="K62" s="2"/>
      <c r="L62" s="2"/>
      <c r="M62" s="2"/>
    </row>
    <row r="63" spans="1:14" ht="18.75" x14ac:dyDescent="0.25">
      <c r="A63" s="4" t="s">
        <v>8</v>
      </c>
      <c r="B63" s="6" t="s">
        <v>7</v>
      </c>
      <c r="C63" s="4" t="s">
        <v>9</v>
      </c>
      <c r="D63" s="4" t="s">
        <v>10</v>
      </c>
      <c r="E63" s="4" t="s">
        <v>12</v>
      </c>
      <c r="F63" s="4" t="s">
        <v>13</v>
      </c>
      <c r="G63" s="4"/>
      <c r="H63" s="4"/>
      <c r="I63" s="4"/>
      <c r="J63" s="4"/>
      <c r="K63" s="6" t="s">
        <v>14</v>
      </c>
      <c r="L63" s="4" t="s">
        <v>15</v>
      </c>
      <c r="M63" s="4" t="s">
        <v>16</v>
      </c>
      <c r="N63" s="7" t="s">
        <v>18</v>
      </c>
    </row>
    <row r="64" spans="1:14" ht="18.75" x14ac:dyDescent="0.25">
      <c r="A64" s="4" t="s">
        <v>66</v>
      </c>
      <c r="B64" s="4" t="s">
        <v>0</v>
      </c>
      <c r="C64" s="4">
        <v>5</v>
      </c>
      <c r="D64" s="4" t="s">
        <v>68</v>
      </c>
      <c r="E64" s="4">
        <v>4</v>
      </c>
      <c r="F64" s="4">
        <v>7</v>
      </c>
      <c r="G64" s="4">
        <v>6</v>
      </c>
      <c r="H64" s="4">
        <v>7</v>
      </c>
      <c r="I64" s="4">
        <v>7</v>
      </c>
      <c r="J64" s="4"/>
      <c r="K64" s="4">
        <f>((E64+F64)/2+G64+H64+I64+J64)/4</f>
        <v>6.375</v>
      </c>
      <c r="L64" s="4">
        <v>3</v>
      </c>
      <c r="M64" s="4">
        <f>L64*K64</f>
        <v>19.125</v>
      </c>
      <c r="N64" s="19">
        <f>M64+M65+M66</f>
        <v>35.375</v>
      </c>
    </row>
    <row r="65" spans="1:14" ht="18.75" x14ac:dyDescent="0.25">
      <c r="A65" s="4" t="s">
        <v>66</v>
      </c>
      <c r="B65" s="4" t="s">
        <v>1</v>
      </c>
      <c r="C65" s="4">
        <v>10</v>
      </c>
      <c r="D65" s="4" t="s">
        <v>125</v>
      </c>
      <c r="E65" s="4">
        <v>4</v>
      </c>
      <c r="F65" s="4">
        <v>6</v>
      </c>
      <c r="G65" s="4">
        <v>5</v>
      </c>
      <c r="H65" s="4">
        <v>5</v>
      </c>
      <c r="I65" s="4">
        <v>5</v>
      </c>
      <c r="J65" s="4"/>
      <c r="K65" s="4">
        <f t="shared" ref="K65:K66" si="9">((E65+F65)/2+G65+H65+I65+J65)/4</f>
        <v>5</v>
      </c>
      <c r="L65" s="4">
        <v>2</v>
      </c>
      <c r="M65" s="4">
        <f>L65*K65</f>
        <v>10</v>
      </c>
      <c r="N65" s="19"/>
    </row>
    <row r="66" spans="1:14" ht="18.75" x14ac:dyDescent="0.25">
      <c r="A66" s="4" t="s">
        <v>66</v>
      </c>
      <c r="B66" s="4" t="s">
        <v>2</v>
      </c>
      <c r="C66" s="4">
        <v>3</v>
      </c>
      <c r="D66" s="4" t="s">
        <v>68</v>
      </c>
      <c r="E66" s="4">
        <v>5</v>
      </c>
      <c r="F66" s="4">
        <v>7</v>
      </c>
      <c r="G66" s="4">
        <v>6</v>
      </c>
      <c r="H66" s="4">
        <v>7</v>
      </c>
      <c r="I66" s="4">
        <v>6</v>
      </c>
      <c r="J66" s="4"/>
      <c r="K66" s="4">
        <f t="shared" si="9"/>
        <v>6.25</v>
      </c>
      <c r="L66" s="4">
        <v>1</v>
      </c>
      <c r="M66" s="4">
        <f>L66*K66</f>
        <v>6.25</v>
      </c>
      <c r="N66" s="19"/>
    </row>
    <row r="67" spans="1:14" ht="18.75" x14ac:dyDescent="0.3">
      <c r="A67" s="2" t="s">
        <v>6</v>
      </c>
      <c r="B67" s="2"/>
      <c r="C67" s="2"/>
      <c r="D67" s="2"/>
      <c r="E67" s="18" t="s">
        <v>11</v>
      </c>
      <c r="F67" s="18"/>
      <c r="G67" s="18"/>
      <c r="H67" s="18"/>
      <c r="I67" s="18"/>
      <c r="J67" s="18"/>
      <c r="K67" s="2"/>
      <c r="L67" s="2"/>
      <c r="M67" s="2"/>
    </row>
    <row r="68" spans="1:14" ht="18.75" x14ac:dyDescent="0.25">
      <c r="A68" s="4" t="s">
        <v>8</v>
      </c>
      <c r="B68" s="6" t="s">
        <v>7</v>
      </c>
      <c r="C68" s="4" t="s">
        <v>9</v>
      </c>
      <c r="D68" s="4" t="s">
        <v>10</v>
      </c>
      <c r="E68" s="4" t="s">
        <v>12</v>
      </c>
      <c r="F68" s="4" t="s">
        <v>13</v>
      </c>
      <c r="G68" s="4"/>
      <c r="H68" s="4"/>
      <c r="I68" s="4"/>
      <c r="J68" s="4"/>
      <c r="K68" s="6" t="s">
        <v>14</v>
      </c>
      <c r="L68" s="4" t="s">
        <v>15</v>
      </c>
      <c r="M68" s="4" t="s">
        <v>16</v>
      </c>
      <c r="N68" s="7" t="s">
        <v>18</v>
      </c>
    </row>
    <row r="69" spans="1:14" ht="18.75" x14ac:dyDescent="0.25">
      <c r="A69" s="4" t="s">
        <v>29</v>
      </c>
      <c r="B69" s="4" t="s">
        <v>0</v>
      </c>
      <c r="C69" s="4">
        <v>3</v>
      </c>
      <c r="D69" s="4" t="s">
        <v>149</v>
      </c>
      <c r="E69" s="4">
        <v>5</v>
      </c>
      <c r="F69" s="4">
        <v>6</v>
      </c>
      <c r="G69" s="4">
        <v>6</v>
      </c>
      <c r="H69" s="4">
        <v>6</v>
      </c>
      <c r="I69" s="4">
        <v>6</v>
      </c>
      <c r="J69" s="4"/>
      <c r="K69" s="4">
        <f>((E69+F69)/2+G69+H69+I69+J69)/4</f>
        <v>5.875</v>
      </c>
      <c r="L69" s="4">
        <v>3</v>
      </c>
      <c r="M69" s="4">
        <f>L69*K69</f>
        <v>17.625</v>
      </c>
      <c r="N69" s="19">
        <f>M69+M70+M71</f>
        <v>34.375</v>
      </c>
    </row>
    <row r="70" spans="1:14" ht="18.75" x14ac:dyDescent="0.25">
      <c r="A70" s="4" t="s">
        <v>29</v>
      </c>
      <c r="B70" s="4" t="s">
        <v>1</v>
      </c>
      <c r="C70" s="4">
        <v>5</v>
      </c>
      <c r="D70" s="4" t="s">
        <v>53</v>
      </c>
      <c r="E70" s="4">
        <v>5</v>
      </c>
      <c r="F70" s="4">
        <v>6</v>
      </c>
      <c r="G70" s="4">
        <v>6</v>
      </c>
      <c r="H70" s="4">
        <v>6</v>
      </c>
      <c r="I70" s="4">
        <v>5</v>
      </c>
      <c r="J70" s="4"/>
      <c r="K70" s="4">
        <f t="shared" ref="K70:K71" si="10">((E70+F70)/2+G70+H70+I70+J70)/4</f>
        <v>5.625</v>
      </c>
      <c r="L70" s="4">
        <v>2</v>
      </c>
      <c r="M70" s="4">
        <f>L70*K70</f>
        <v>11.25</v>
      </c>
      <c r="N70" s="19"/>
    </row>
    <row r="71" spans="1:14" ht="18.75" x14ac:dyDescent="0.25">
      <c r="A71" s="4" t="s">
        <v>29</v>
      </c>
      <c r="B71" s="4" t="s">
        <v>2</v>
      </c>
      <c r="C71" s="4">
        <v>10</v>
      </c>
      <c r="D71" s="4" t="s">
        <v>53</v>
      </c>
      <c r="E71" s="4">
        <v>3</v>
      </c>
      <c r="F71" s="4">
        <v>7</v>
      </c>
      <c r="G71" s="4">
        <v>5</v>
      </c>
      <c r="H71" s="4">
        <v>6</v>
      </c>
      <c r="I71" s="4">
        <v>6</v>
      </c>
      <c r="J71" s="4"/>
      <c r="K71" s="4">
        <f t="shared" si="10"/>
        <v>5.5</v>
      </c>
      <c r="L71" s="4">
        <v>1</v>
      </c>
      <c r="M71" s="4">
        <f>L71*K71</f>
        <v>5.5</v>
      </c>
      <c r="N71" s="19"/>
    </row>
    <row r="72" spans="1:14" ht="18.75" x14ac:dyDescent="0.3">
      <c r="A72" s="2" t="s">
        <v>5</v>
      </c>
      <c r="B72" s="2"/>
      <c r="C72" s="2"/>
      <c r="D72" s="2"/>
      <c r="E72" s="18" t="s">
        <v>11</v>
      </c>
      <c r="F72" s="18"/>
      <c r="G72" s="18"/>
      <c r="H72" s="18"/>
      <c r="I72" s="18"/>
      <c r="J72" s="18"/>
      <c r="K72" s="2"/>
      <c r="L72" s="2"/>
      <c r="M72" s="2"/>
    </row>
    <row r="73" spans="1:14" ht="18.75" x14ac:dyDescent="0.25">
      <c r="A73" s="4" t="s">
        <v>8</v>
      </c>
      <c r="B73" s="6" t="s">
        <v>7</v>
      </c>
      <c r="C73" s="4" t="s">
        <v>9</v>
      </c>
      <c r="D73" s="4" t="s">
        <v>10</v>
      </c>
      <c r="E73" s="4" t="s">
        <v>12</v>
      </c>
      <c r="F73" s="4" t="s">
        <v>13</v>
      </c>
      <c r="G73" s="4"/>
      <c r="H73" s="4"/>
      <c r="I73" s="4"/>
      <c r="J73" s="4"/>
      <c r="K73" s="6" t="s">
        <v>14</v>
      </c>
      <c r="L73" s="4" t="s">
        <v>15</v>
      </c>
      <c r="M73" s="4" t="s">
        <v>16</v>
      </c>
      <c r="N73" s="7" t="s">
        <v>18</v>
      </c>
    </row>
    <row r="74" spans="1:14" ht="18.75" x14ac:dyDescent="0.25">
      <c r="A74" s="4" t="s">
        <v>27</v>
      </c>
      <c r="B74" s="4" t="s">
        <v>0</v>
      </c>
      <c r="C74" s="4">
        <v>2</v>
      </c>
      <c r="D74" s="4" t="s">
        <v>83</v>
      </c>
      <c r="E74" s="4">
        <v>5</v>
      </c>
      <c r="F74" s="4">
        <v>8</v>
      </c>
      <c r="G74" s="4">
        <v>8</v>
      </c>
      <c r="H74" s="4">
        <v>6</v>
      </c>
      <c r="I74" s="4">
        <v>6</v>
      </c>
      <c r="J74" s="4"/>
      <c r="K74" s="4">
        <f>((E74+F74)/2+G74+H74+I74+J74)/4</f>
        <v>6.625</v>
      </c>
      <c r="L74" s="14">
        <v>2.6</v>
      </c>
      <c r="M74" s="4">
        <f>L74*K74</f>
        <v>17.225000000000001</v>
      </c>
      <c r="N74" s="19">
        <f>M74+M75+M76</f>
        <v>38.725000000000001</v>
      </c>
    </row>
    <row r="75" spans="1:14" ht="18.75" x14ac:dyDescent="0.25">
      <c r="A75" s="4" t="s">
        <v>27</v>
      </c>
      <c r="B75" s="4" t="s">
        <v>1</v>
      </c>
      <c r="C75" s="4">
        <v>6</v>
      </c>
      <c r="D75" s="4" t="s">
        <v>123</v>
      </c>
      <c r="E75" s="4">
        <v>6</v>
      </c>
      <c r="F75" s="4">
        <v>8</v>
      </c>
      <c r="G75" s="4">
        <v>6</v>
      </c>
      <c r="H75" s="4">
        <v>8</v>
      </c>
      <c r="I75" s="4">
        <v>7</v>
      </c>
      <c r="J75" s="4"/>
      <c r="K75" s="4">
        <f t="shared" ref="K75:K76" si="11">((E75+F75)/2+G75+H75+I75+J75)/4</f>
        <v>7</v>
      </c>
      <c r="L75" s="4">
        <v>2</v>
      </c>
      <c r="M75" s="4">
        <f>L75*K75</f>
        <v>14</v>
      </c>
      <c r="N75" s="19"/>
    </row>
    <row r="76" spans="1:14" ht="18.75" x14ac:dyDescent="0.25">
      <c r="A76" s="4" t="s">
        <v>27</v>
      </c>
      <c r="B76" s="4" t="s">
        <v>2</v>
      </c>
      <c r="C76" s="4">
        <v>5</v>
      </c>
      <c r="D76" s="4" t="s">
        <v>85</v>
      </c>
      <c r="E76" s="4">
        <v>5</v>
      </c>
      <c r="F76" s="4">
        <v>9</v>
      </c>
      <c r="G76" s="4">
        <v>7</v>
      </c>
      <c r="H76" s="4">
        <v>7</v>
      </c>
      <c r="I76" s="4">
        <v>9</v>
      </c>
      <c r="J76" s="4"/>
      <c r="K76" s="4">
        <f t="shared" si="11"/>
        <v>7.5</v>
      </c>
      <c r="L76" s="4">
        <v>1</v>
      </c>
      <c r="M76" s="4">
        <f>L76*K76</f>
        <v>7.5</v>
      </c>
      <c r="N76" s="19"/>
    </row>
    <row r="77" spans="1:14" ht="18.75" x14ac:dyDescent="0.3">
      <c r="A77" s="2" t="s">
        <v>5</v>
      </c>
      <c r="B77" s="2"/>
      <c r="C77" s="2"/>
      <c r="D77" s="2"/>
      <c r="E77" s="18" t="s">
        <v>11</v>
      </c>
      <c r="F77" s="18"/>
      <c r="G77" s="18"/>
      <c r="H77" s="18"/>
      <c r="I77" s="18"/>
      <c r="J77" s="18"/>
      <c r="K77" s="2"/>
      <c r="L77" s="2"/>
      <c r="M77" s="2"/>
    </row>
    <row r="78" spans="1:14" ht="18.75" x14ac:dyDescent="0.25">
      <c r="A78" s="4" t="s">
        <v>8</v>
      </c>
      <c r="B78" s="6" t="s">
        <v>7</v>
      </c>
      <c r="C78" s="4" t="s">
        <v>9</v>
      </c>
      <c r="D78" s="4" t="s">
        <v>10</v>
      </c>
      <c r="E78" s="4" t="s">
        <v>12</v>
      </c>
      <c r="F78" s="4" t="s">
        <v>13</v>
      </c>
      <c r="G78" s="4"/>
      <c r="H78" s="4"/>
      <c r="I78" s="4"/>
      <c r="J78" s="4"/>
      <c r="K78" s="6" t="s">
        <v>14</v>
      </c>
      <c r="L78" s="4" t="s">
        <v>15</v>
      </c>
      <c r="M78" s="4" t="s">
        <v>16</v>
      </c>
      <c r="N78" s="7" t="s">
        <v>18</v>
      </c>
    </row>
    <row r="79" spans="1:14" ht="18.75" x14ac:dyDescent="0.25">
      <c r="A79" s="4" t="s">
        <v>112</v>
      </c>
      <c r="B79" s="4" t="s">
        <v>0</v>
      </c>
      <c r="C79" s="4">
        <v>5</v>
      </c>
      <c r="D79" s="4" t="s">
        <v>187</v>
      </c>
      <c r="E79" s="4">
        <v>4</v>
      </c>
      <c r="F79" s="4">
        <v>8</v>
      </c>
      <c r="G79" s="4">
        <v>6</v>
      </c>
      <c r="H79" s="4">
        <v>7</v>
      </c>
      <c r="I79" s="4">
        <v>8</v>
      </c>
      <c r="J79" s="4"/>
      <c r="K79" s="4">
        <f>((E79+F79)/2+G79+H79+I79+J79)/4</f>
        <v>6.75</v>
      </c>
      <c r="L79" s="4">
        <v>3</v>
      </c>
      <c r="M79" s="4">
        <f>L79*K79</f>
        <v>20.25</v>
      </c>
      <c r="N79" s="19">
        <f>M79+M80+M81</f>
        <v>39.75</v>
      </c>
    </row>
    <row r="80" spans="1:14" ht="18.75" x14ac:dyDescent="0.25">
      <c r="A80" s="4" t="s">
        <v>112</v>
      </c>
      <c r="B80" s="4" t="s">
        <v>1</v>
      </c>
      <c r="C80" s="4">
        <v>2</v>
      </c>
      <c r="D80" s="4" t="s">
        <v>90</v>
      </c>
      <c r="E80" s="4">
        <v>5</v>
      </c>
      <c r="F80" s="4">
        <v>8</v>
      </c>
      <c r="G80" s="4">
        <v>6</v>
      </c>
      <c r="H80" s="4">
        <v>7</v>
      </c>
      <c r="I80" s="4">
        <v>6</v>
      </c>
      <c r="J80" s="4"/>
      <c r="K80" s="4">
        <f t="shared" ref="K80:K81" si="12">((E80+F80)/2+G80+H80+I80+J80)/4</f>
        <v>6.375</v>
      </c>
      <c r="L80" s="4">
        <v>2</v>
      </c>
      <c r="M80" s="4">
        <f>L80*K80</f>
        <v>12.75</v>
      </c>
      <c r="N80" s="19"/>
    </row>
    <row r="81" spans="1:14" ht="18.75" x14ac:dyDescent="0.25">
      <c r="A81" s="4" t="s">
        <v>112</v>
      </c>
      <c r="B81" s="4" t="s">
        <v>2</v>
      </c>
      <c r="C81" s="4">
        <v>6</v>
      </c>
      <c r="D81" s="4" t="s">
        <v>92</v>
      </c>
      <c r="E81" s="4">
        <v>6</v>
      </c>
      <c r="F81" s="4">
        <v>8</v>
      </c>
      <c r="G81" s="4">
        <v>7</v>
      </c>
      <c r="H81" s="4">
        <v>7</v>
      </c>
      <c r="I81" s="4">
        <v>6</v>
      </c>
      <c r="J81" s="4"/>
      <c r="K81" s="4">
        <f t="shared" si="12"/>
        <v>6.75</v>
      </c>
      <c r="L81" s="4">
        <v>1</v>
      </c>
      <c r="M81" s="4">
        <f>L81*K81</f>
        <v>6.75</v>
      </c>
      <c r="N81" s="19"/>
    </row>
    <row r="82" spans="1:14" ht="18.75" x14ac:dyDescent="0.3">
      <c r="A82" s="2" t="s">
        <v>5</v>
      </c>
      <c r="B82" s="2"/>
      <c r="C82" s="2"/>
      <c r="D82" s="2"/>
      <c r="E82" s="18" t="s">
        <v>11</v>
      </c>
      <c r="F82" s="18"/>
      <c r="G82" s="18"/>
      <c r="H82" s="18"/>
      <c r="I82" s="18"/>
      <c r="J82" s="18"/>
      <c r="K82" s="2"/>
      <c r="L82" s="2"/>
      <c r="M82" s="2"/>
    </row>
    <row r="83" spans="1:14" ht="18.75" x14ac:dyDescent="0.25">
      <c r="A83" s="4" t="s">
        <v>8</v>
      </c>
      <c r="B83" s="6" t="s">
        <v>7</v>
      </c>
      <c r="C83" s="4" t="s">
        <v>9</v>
      </c>
      <c r="D83" s="4" t="s">
        <v>10</v>
      </c>
      <c r="E83" s="4" t="s">
        <v>12</v>
      </c>
      <c r="F83" s="4" t="s">
        <v>13</v>
      </c>
      <c r="G83" s="4"/>
      <c r="H83" s="4"/>
      <c r="I83" s="4"/>
      <c r="J83" s="4"/>
      <c r="K83" s="6" t="s">
        <v>14</v>
      </c>
      <c r="L83" s="4" t="s">
        <v>15</v>
      </c>
      <c r="M83" s="4" t="s">
        <v>16</v>
      </c>
      <c r="N83" s="7" t="s">
        <v>18</v>
      </c>
    </row>
    <row r="84" spans="1:14" ht="18.75" x14ac:dyDescent="0.25">
      <c r="A84" s="4" t="s">
        <v>155</v>
      </c>
      <c r="B84" s="4" t="s">
        <v>0</v>
      </c>
      <c r="C84" s="4">
        <v>6</v>
      </c>
      <c r="D84" s="4" t="s">
        <v>59</v>
      </c>
      <c r="E84" s="4">
        <v>7</v>
      </c>
      <c r="F84" s="4">
        <v>10</v>
      </c>
      <c r="G84" s="4">
        <v>8</v>
      </c>
      <c r="H84" s="4">
        <v>9</v>
      </c>
      <c r="I84" s="4">
        <v>9</v>
      </c>
      <c r="J84" s="4"/>
      <c r="K84" s="4">
        <f>((E84+F84)/2+G84+H84+I84+J84)/4</f>
        <v>8.625</v>
      </c>
      <c r="L84" s="4">
        <v>3</v>
      </c>
      <c r="M84" s="4">
        <f>L84*K84</f>
        <v>25.875</v>
      </c>
      <c r="N84" s="19">
        <f>M84+M85+M86</f>
        <v>46.125</v>
      </c>
    </row>
    <row r="85" spans="1:14" ht="18.75" x14ac:dyDescent="0.25">
      <c r="A85" s="4" t="s">
        <v>155</v>
      </c>
      <c r="B85" s="4" t="s">
        <v>1</v>
      </c>
      <c r="C85" s="4">
        <v>5</v>
      </c>
      <c r="D85" s="4" t="s">
        <v>133</v>
      </c>
      <c r="E85" s="4">
        <v>5</v>
      </c>
      <c r="F85" s="4">
        <v>9</v>
      </c>
      <c r="G85" s="4">
        <v>6</v>
      </c>
      <c r="H85" s="4">
        <v>6</v>
      </c>
      <c r="I85" s="4">
        <v>8</v>
      </c>
      <c r="J85" s="4"/>
      <c r="K85" s="4">
        <f t="shared" ref="K85:K86" si="13">((E85+F85)/2+G85+H85+I85+J85)/4</f>
        <v>6.75</v>
      </c>
      <c r="L85" s="4">
        <v>2</v>
      </c>
      <c r="M85" s="4">
        <f>L85*K85</f>
        <v>13.5</v>
      </c>
      <c r="N85" s="19"/>
    </row>
    <row r="86" spans="1:14" ht="18.75" x14ac:dyDescent="0.25">
      <c r="A86" s="4" t="s">
        <v>155</v>
      </c>
      <c r="B86" s="4" t="s">
        <v>2</v>
      </c>
      <c r="C86" s="4">
        <v>2</v>
      </c>
      <c r="D86" s="4" t="s">
        <v>59</v>
      </c>
      <c r="E86" s="4">
        <v>5</v>
      </c>
      <c r="F86" s="4">
        <v>7</v>
      </c>
      <c r="G86" s="4">
        <v>7</v>
      </c>
      <c r="H86" s="4">
        <v>7</v>
      </c>
      <c r="I86" s="4">
        <v>7</v>
      </c>
      <c r="J86" s="4"/>
      <c r="K86" s="4">
        <f t="shared" si="13"/>
        <v>6.75</v>
      </c>
      <c r="L86" s="4">
        <v>1</v>
      </c>
      <c r="M86" s="4">
        <f>L86*K86</f>
        <v>6.75</v>
      </c>
      <c r="N86" s="19"/>
    </row>
    <row r="87" spans="1:14" ht="18.75" x14ac:dyDescent="0.3">
      <c r="A87" s="2" t="s">
        <v>4</v>
      </c>
      <c r="B87" s="2"/>
      <c r="C87" s="2"/>
      <c r="D87" s="2"/>
      <c r="E87" s="18" t="s">
        <v>11</v>
      </c>
      <c r="F87" s="18"/>
      <c r="G87" s="18"/>
      <c r="H87" s="18"/>
      <c r="I87" s="18"/>
      <c r="J87" s="18"/>
      <c r="K87" s="2"/>
      <c r="L87" s="2"/>
      <c r="M87" s="2"/>
    </row>
    <row r="88" spans="1:14" ht="18.75" x14ac:dyDescent="0.25">
      <c r="A88" s="4" t="s">
        <v>8</v>
      </c>
      <c r="B88" s="6" t="s">
        <v>7</v>
      </c>
      <c r="C88" s="4" t="s">
        <v>9</v>
      </c>
      <c r="D88" s="4" t="s">
        <v>10</v>
      </c>
      <c r="E88" s="4" t="s">
        <v>12</v>
      </c>
      <c r="F88" s="4" t="s">
        <v>13</v>
      </c>
      <c r="G88" s="4"/>
      <c r="H88" s="4"/>
      <c r="I88" s="4"/>
      <c r="J88" s="4"/>
      <c r="K88" s="6" t="s">
        <v>14</v>
      </c>
      <c r="L88" s="4" t="s">
        <v>15</v>
      </c>
      <c r="M88" s="4" t="s">
        <v>16</v>
      </c>
      <c r="N88" s="7" t="s">
        <v>18</v>
      </c>
    </row>
    <row r="89" spans="1:14" ht="18.75" x14ac:dyDescent="0.25">
      <c r="A89" s="4" t="s">
        <v>33</v>
      </c>
      <c r="B89" s="4" t="s">
        <v>0</v>
      </c>
      <c r="C89" s="4">
        <v>3</v>
      </c>
      <c r="D89" s="4" t="s">
        <v>81</v>
      </c>
      <c r="E89" s="4">
        <v>3</v>
      </c>
      <c r="F89" s="4">
        <v>6</v>
      </c>
      <c r="G89" s="4">
        <v>5</v>
      </c>
      <c r="H89" s="4">
        <v>4</v>
      </c>
      <c r="I89" s="4">
        <v>5</v>
      </c>
      <c r="J89" s="4"/>
      <c r="K89" s="4">
        <f>((E89+F89)/2+G89+H89+I89+J89)/4</f>
        <v>4.625</v>
      </c>
      <c r="L89" s="14">
        <v>2.6</v>
      </c>
      <c r="M89" s="4">
        <f>L89*K89</f>
        <v>12.025</v>
      </c>
      <c r="N89" s="19">
        <f>M89+M90+M91</f>
        <v>28.15</v>
      </c>
    </row>
    <row r="90" spans="1:14" ht="18.75" x14ac:dyDescent="0.25">
      <c r="A90" s="4" t="s">
        <v>33</v>
      </c>
      <c r="B90" s="4" t="s">
        <v>1</v>
      </c>
      <c r="C90" s="4">
        <v>11</v>
      </c>
      <c r="D90" s="4" t="s">
        <v>79</v>
      </c>
      <c r="E90" s="4">
        <v>4</v>
      </c>
      <c r="F90" s="4">
        <v>6</v>
      </c>
      <c r="G90" s="4">
        <v>6</v>
      </c>
      <c r="H90" s="4">
        <v>4</v>
      </c>
      <c r="I90" s="4">
        <v>6</v>
      </c>
      <c r="J90" s="4"/>
      <c r="K90" s="4">
        <f t="shared" ref="K90:K91" si="14">((E90+F90)/2+G90+H90+I90+J90)/4</f>
        <v>5.25</v>
      </c>
      <c r="L90" s="4">
        <v>2</v>
      </c>
      <c r="M90" s="4">
        <f>L90*K90</f>
        <v>10.5</v>
      </c>
      <c r="N90" s="19"/>
    </row>
    <row r="91" spans="1:14" ht="18.75" x14ac:dyDescent="0.25">
      <c r="A91" s="4" t="s">
        <v>33</v>
      </c>
      <c r="B91" s="4" t="s">
        <v>2</v>
      </c>
      <c r="C91" s="4">
        <v>13</v>
      </c>
      <c r="D91" s="4" t="s">
        <v>111</v>
      </c>
      <c r="E91" s="4">
        <v>4</v>
      </c>
      <c r="F91" s="4">
        <v>7</v>
      </c>
      <c r="G91" s="4">
        <v>6</v>
      </c>
      <c r="H91" s="4">
        <v>5</v>
      </c>
      <c r="I91" s="4">
        <v>6</v>
      </c>
      <c r="J91" s="4"/>
      <c r="K91" s="4">
        <f t="shared" si="14"/>
        <v>5.625</v>
      </c>
      <c r="L91" s="4">
        <v>1</v>
      </c>
      <c r="M91" s="4">
        <f>L91*K91</f>
        <v>5.625</v>
      </c>
      <c r="N91" s="19"/>
    </row>
    <row r="92" spans="1:14" ht="18.75" x14ac:dyDescent="0.3">
      <c r="A92" s="2" t="s">
        <v>4</v>
      </c>
      <c r="B92" s="2"/>
      <c r="C92" s="2"/>
      <c r="D92" s="2"/>
      <c r="E92" s="18" t="s">
        <v>11</v>
      </c>
      <c r="F92" s="18"/>
      <c r="G92" s="18"/>
      <c r="H92" s="18"/>
      <c r="I92" s="18"/>
      <c r="J92" s="18"/>
      <c r="K92" s="2"/>
      <c r="L92" s="2"/>
      <c r="M92" s="2"/>
    </row>
    <row r="93" spans="1:14" ht="18.75" x14ac:dyDescent="0.25">
      <c r="A93" s="4" t="s">
        <v>8</v>
      </c>
      <c r="B93" s="6" t="s">
        <v>7</v>
      </c>
      <c r="C93" s="4" t="s">
        <v>9</v>
      </c>
      <c r="D93" s="4" t="s">
        <v>10</v>
      </c>
      <c r="E93" s="4" t="s">
        <v>12</v>
      </c>
      <c r="F93" s="4" t="s">
        <v>13</v>
      </c>
      <c r="G93" s="4"/>
      <c r="H93" s="4"/>
      <c r="I93" s="4"/>
      <c r="J93" s="4"/>
      <c r="K93" s="6" t="s">
        <v>14</v>
      </c>
      <c r="L93" s="4" t="s">
        <v>15</v>
      </c>
      <c r="M93" s="4" t="s">
        <v>16</v>
      </c>
      <c r="N93" s="7" t="s">
        <v>18</v>
      </c>
    </row>
    <row r="94" spans="1:14" ht="18.75" x14ac:dyDescent="0.25">
      <c r="A94" s="4" t="s">
        <v>23</v>
      </c>
      <c r="B94" s="4" t="s">
        <v>0</v>
      </c>
      <c r="C94" s="4">
        <v>13</v>
      </c>
      <c r="D94" s="4" t="s">
        <v>126</v>
      </c>
      <c r="E94" s="4">
        <v>4</v>
      </c>
      <c r="F94" s="4">
        <v>7</v>
      </c>
      <c r="G94" s="4">
        <v>5</v>
      </c>
      <c r="H94" s="4">
        <v>6</v>
      </c>
      <c r="I94" s="4">
        <v>6</v>
      </c>
      <c r="J94" s="4"/>
      <c r="K94" s="4">
        <f>((E94+F94)/2+G94+H94+I94+J94)/4</f>
        <v>5.625</v>
      </c>
      <c r="L94" s="14">
        <v>2.2000000000000002</v>
      </c>
      <c r="M94" s="4">
        <f>L94*K94</f>
        <v>12.375000000000002</v>
      </c>
      <c r="N94" s="19">
        <f>M94+M95+M96</f>
        <v>24.125</v>
      </c>
    </row>
    <row r="95" spans="1:14" ht="18.75" x14ac:dyDescent="0.25">
      <c r="A95" s="4" t="s">
        <v>23</v>
      </c>
      <c r="B95" s="4" t="s">
        <v>1</v>
      </c>
      <c r="C95" s="4">
        <v>3</v>
      </c>
      <c r="D95" s="4" t="s">
        <v>185</v>
      </c>
      <c r="E95" s="4">
        <v>2</v>
      </c>
      <c r="F95" s="4">
        <v>4</v>
      </c>
      <c r="G95" s="4">
        <v>3</v>
      </c>
      <c r="H95" s="4">
        <v>3</v>
      </c>
      <c r="I95" s="4">
        <v>4</v>
      </c>
      <c r="J95" s="4"/>
      <c r="K95" s="4">
        <f t="shared" ref="K95:K96" si="15">((E95+F95)/2+G95+H95+I95+J95)/4</f>
        <v>3.25</v>
      </c>
      <c r="L95" s="4">
        <v>2</v>
      </c>
      <c r="M95" s="4">
        <f>L95*K95</f>
        <v>6.5</v>
      </c>
      <c r="N95" s="19"/>
    </row>
    <row r="96" spans="1:14" ht="18.75" x14ac:dyDescent="0.25">
      <c r="A96" s="4" t="s">
        <v>23</v>
      </c>
      <c r="B96" s="4" t="s">
        <v>2</v>
      </c>
      <c r="C96" s="4">
        <v>11</v>
      </c>
      <c r="D96" s="4" t="s">
        <v>164</v>
      </c>
      <c r="E96" s="4">
        <v>4</v>
      </c>
      <c r="F96" s="4">
        <v>6</v>
      </c>
      <c r="G96" s="4">
        <v>6</v>
      </c>
      <c r="H96" s="4">
        <v>5</v>
      </c>
      <c r="I96" s="4">
        <v>5</v>
      </c>
      <c r="J96" s="4"/>
      <c r="K96" s="4">
        <f t="shared" si="15"/>
        <v>5.25</v>
      </c>
      <c r="L96" s="4">
        <v>1</v>
      </c>
      <c r="M96" s="4">
        <f>L96*K96</f>
        <v>5.25</v>
      </c>
      <c r="N96" s="19"/>
    </row>
    <row r="97" spans="1:14" ht="18.75" x14ac:dyDescent="0.3">
      <c r="A97" s="2" t="s">
        <v>4</v>
      </c>
      <c r="B97" s="2"/>
      <c r="C97" s="2"/>
      <c r="D97" s="2"/>
      <c r="E97" s="18" t="s">
        <v>11</v>
      </c>
      <c r="F97" s="18"/>
      <c r="G97" s="18"/>
      <c r="H97" s="18"/>
      <c r="I97" s="18"/>
      <c r="J97" s="18"/>
      <c r="K97" s="2"/>
      <c r="L97" s="2"/>
      <c r="M97" s="2"/>
    </row>
    <row r="98" spans="1:14" ht="18.75" x14ac:dyDescent="0.25">
      <c r="A98" s="4" t="s">
        <v>8</v>
      </c>
      <c r="B98" s="6" t="s">
        <v>7</v>
      </c>
      <c r="C98" s="4" t="s">
        <v>9</v>
      </c>
      <c r="D98" s="4" t="s">
        <v>10</v>
      </c>
      <c r="E98" s="4" t="s">
        <v>12</v>
      </c>
      <c r="F98" s="4" t="s">
        <v>13</v>
      </c>
      <c r="G98" s="4"/>
      <c r="H98" s="4"/>
      <c r="I98" s="4"/>
      <c r="J98" s="4"/>
      <c r="K98" s="6" t="s">
        <v>14</v>
      </c>
      <c r="L98" s="4" t="s">
        <v>15</v>
      </c>
      <c r="M98" s="4" t="s">
        <v>16</v>
      </c>
      <c r="N98" s="7" t="s">
        <v>18</v>
      </c>
    </row>
    <row r="99" spans="1:14" ht="18.75" x14ac:dyDescent="0.25">
      <c r="A99" s="4" t="s">
        <v>30</v>
      </c>
      <c r="B99" s="4" t="s">
        <v>0</v>
      </c>
      <c r="C99" s="4">
        <v>11</v>
      </c>
      <c r="D99" s="4" t="s">
        <v>115</v>
      </c>
      <c r="E99" s="4">
        <v>4</v>
      </c>
      <c r="F99" s="4">
        <v>8</v>
      </c>
      <c r="G99" s="4">
        <v>7</v>
      </c>
      <c r="H99" s="4">
        <v>5</v>
      </c>
      <c r="I99" s="4">
        <v>5</v>
      </c>
      <c r="J99" s="4"/>
      <c r="K99" s="4">
        <f>((E99+F99)/2+G99+H99+I99+J99)/4</f>
        <v>5.75</v>
      </c>
      <c r="L99" s="4">
        <v>3</v>
      </c>
      <c r="M99" s="4">
        <f>L99*K99</f>
        <v>17.25</v>
      </c>
      <c r="N99" s="19">
        <f>M99+M100+M101</f>
        <v>31.5</v>
      </c>
    </row>
    <row r="100" spans="1:14" ht="18.75" x14ac:dyDescent="0.25">
      <c r="A100" s="4" t="s">
        <v>30</v>
      </c>
      <c r="B100" s="4" t="s">
        <v>1</v>
      </c>
      <c r="C100" s="4">
        <v>13</v>
      </c>
      <c r="D100" s="4" t="s">
        <v>117</v>
      </c>
      <c r="E100" s="4">
        <v>4</v>
      </c>
      <c r="F100" s="4">
        <v>6</v>
      </c>
      <c r="G100" s="4">
        <v>5</v>
      </c>
      <c r="H100" s="4">
        <v>4</v>
      </c>
      <c r="I100" s="4">
        <v>5</v>
      </c>
      <c r="J100" s="4"/>
      <c r="K100" s="4">
        <f t="shared" ref="K100:K101" si="16">((E100+F100)/2+G100+H100+I100+J100)/4</f>
        <v>4.75</v>
      </c>
      <c r="L100" s="4">
        <v>2</v>
      </c>
      <c r="M100" s="4">
        <f>L100*K100</f>
        <v>9.5</v>
      </c>
      <c r="N100" s="19"/>
    </row>
    <row r="101" spans="1:14" ht="18.75" x14ac:dyDescent="0.25">
      <c r="A101" s="4" t="s">
        <v>30</v>
      </c>
      <c r="B101" s="4" t="s">
        <v>2</v>
      </c>
      <c r="C101" s="4">
        <v>3</v>
      </c>
      <c r="D101" s="4" t="s">
        <v>64</v>
      </c>
      <c r="E101" s="4">
        <v>2</v>
      </c>
      <c r="F101" s="4">
        <v>6</v>
      </c>
      <c r="G101" s="4">
        <v>5</v>
      </c>
      <c r="H101" s="4">
        <v>5</v>
      </c>
      <c r="I101" s="4">
        <v>5</v>
      </c>
      <c r="J101" s="4"/>
      <c r="K101" s="4">
        <f t="shared" si="16"/>
        <v>4.75</v>
      </c>
      <c r="L101" s="4">
        <v>1</v>
      </c>
      <c r="M101" s="4">
        <f>L101*K101</f>
        <v>4.75</v>
      </c>
      <c r="N101" s="19"/>
    </row>
  </sheetData>
  <autoFilter ref="A2:N101">
    <filterColumn colId="4" showButton="0"/>
    <filterColumn colId="5" showButton="0"/>
    <filterColumn colId="6" showButton="0"/>
    <filterColumn colId="7" showButton="0"/>
    <filterColumn colId="8" showButton="0"/>
  </autoFilter>
  <mergeCells count="41">
    <mergeCell ref="E27:J27"/>
    <mergeCell ref="A1:M1"/>
    <mergeCell ref="E2:J2"/>
    <mergeCell ref="N4:N6"/>
    <mergeCell ref="E7:J7"/>
    <mergeCell ref="N9:N11"/>
    <mergeCell ref="E12:J12"/>
    <mergeCell ref="N14:N16"/>
    <mergeCell ref="E17:J17"/>
    <mergeCell ref="N19:N21"/>
    <mergeCell ref="E22:J22"/>
    <mergeCell ref="N24:N26"/>
    <mergeCell ref="E57:J57"/>
    <mergeCell ref="N29:N31"/>
    <mergeCell ref="E32:J32"/>
    <mergeCell ref="N34:N36"/>
    <mergeCell ref="E37:J37"/>
    <mergeCell ref="N39:N41"/>
    <mergeCell ref="E42:J42"/>
    <mergeCell ref="N44:N46"/>
    <mergeCell ref="E47:J47"/>
    <mergeCell ref="N49:N51"/>
    <mergeCell ref="E52:J52"/>
    <mergeCell ref="N54:N56"/>
    <mergeCell ref="E87:J87"/>
    <mergeCell ref="N59:N61"/>
    <mergeCell ref="E62:J62"/>
    <mergeCell ref="N64:N66"/>
    <mergeCell ref="E67:J67"/>
    <mergeCell ref="N69:N71"/>
    <mergeCell ref="E72:J72"/>
    <mergeCell ref="N74:N76"/>
    <mergeCell ref="E77:J77"/>
    <mergeCell ref="N79:N81"/>
    <mergeCell ref="E82:J82"/>
    <mergeCell ref="N84:N86"/>
    <mergeCell ref="N89:N91"/>
    <mergeCell ref="E92:J92"/>
    <mergeCell ref="N94:N96"/>
    <mergeCell ref="E97:J97"/>
    <mergeCell ref="N99:N101"/>
  </mergeCells>
  <pageMargins left="0.70866141732283472" right="0.70866141732283472" top="0.74803149606299213" bottom="0.74803149606299213" header="0.31496062992125984" footer="0.31496062992125984"/>
  <pageSetup paperSize="9" scale="2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"/>
  <sheetViews>
    <sheetView topLeftCell="G1" zoomScale="80" zoomScaleNormal="80" workbookViewId="0">
      <selection activeCell="Q3" sqref="Q3:R5"/>
    </sheetView>
  </sheetViews>
  <sheetFormatPr defaultRowHeight="15" x14ac:dyDescent="0.25"/>
  <cols>
    <col min="1" max="1" width="16" customWidth="1"/>
    <col min="2" max="2" width="5.42578125" customWidth="1"/>
    <col min="3" max="3" width="8.140625" customWidth="1"/>
    <col min="4" max="4" width="19.85546875" customWidth="1"/>
    <col min="5" max="11" width="5.85546875" customWidth="1"/>
    <col min="12" max="12" width="8" customWidth="1"/>
    <col min="13" max="14" width="7.85546875" customWidth="1"/>
    <col min="16" max="16" width="3.5703125" customWidth="1"/>
    <col min="17" max="17" width="4.28515625" customWidth="1"/>
  </cols>
  <sheetData>
    <row r="1" spans="1:15" ht="18.75" x14ac:dyDescent="0.3">
      <c r="A1" s="20" t="s">
        <v>201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8.75" x14ac:dyDescent="0.3">
      <c r="A2" s="2" t="s">
        <v>207</v>
      </c>
      <c r="B2" s="2"/>
      <c r="C2" s="2"/>
      <c r="D2" s="2"/>
      <c r="E2" s="18" t="s">
        <v>11</v>
      </c>
      <c r="F2" s="18"/>
      <c r="G2" s="18"/>
      <c r="H2" s="18"/>
      <c r="I2" s="18"/>
      <c r="J2" s="18"/>
      <c r="K2" s="18"/>
      <c r="L2" s="2"/>
      <c r="M2" s="2"/>
      <c r="N2" s="2"/>
    </row>
    <row r="3" spans="1:15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4"/>
      <c r="L3" s="6" t="s">
        <v>14</v>
      </c>
      <c r="M3" s="4" t="s">
        <v>15</v>
      </c>
      <c r="N3" s="4" t="s">
        <v>16</v>
      </c>
      <c r="O3" s="7" t="s">
        <v>18</v>
      </c>
    </row>
    <row r="4" spans="1:15" ht="18.75" x14ac:dyDescent="0.25">
      <c r="A4" s="4" t="s">
        <v>93</v>
      </c>
      <c r="B4" s="4" t="s">
        <v>0</v>
      </c>
      <c r="C4" s="4">
        <v>12</v>
      </c>
      <c r="D4" s="4" t="s">
        <v>95</v>
      </c>
      <c r="E4" s="4">
        <v>6</v>
      </c>
      <c r="F4" s="4">
        <v>10</v>
      </c>
      <c r="G4" s="4">
        <v>7</v>
      </c>
      <c r="H4" s="4">
        <v>7</v>
      </c>
      <c r="I4" s="4">
        <v>6</v>
      </c>
      <c r="J4" s="4">
        <v>8</v>
      </c>
      <c r="K4" s="4">
        <v>6</v>
      </c>
      <c r="L4" s="4">
        <f>((E4+F4)/2+G4+H4+I4+J4+K4)/6</f>
        <v>7</v>
      </c>
      <c r="M4" s="4">
        <v>3</v>
      </c>
      <c r="N4" s="4">
        <f>M4*L4</f>
        <v>21</v>
      </c>
      <c r="O4" s="19">
        <f>N4+N5+N6</f>
        <v>35.333333333333336</v>
      </c>
    </row>
    <row r="5" spans="1:15" ht="18.75" x14ac:dyDescent="0.25">
      <c r="A5" s="4" t="s">
        <v>93</v>
      </c>
      <c r="B5" s="4" t="s">
        <v>1</v>
      </c>
      <c r="C5" s="4">
        <v>5</v>
      </c>
      <c r="D5" s="4" t="s">
        <v>119</v>
      </c>
      <c r="E5" s="4">
        <v>6</v>
      </c>
      <c r="F5" s="4">
        <v>8</v>
      </c>
      <c r="G5" s="4">
        <v>7</v>
      </c>
      <c r="H5" s="4">
        <v>8</v>
      </c>
      <c r="I5" s="4">
        <v>7</v>
      </c>
      <c r="J5" s="4">
        <v>7</v>
      </c>
      <c r="K5" s="4">
        <v>7</v>
      </c>
      <c r="L5" s="4">
        <f t="shared" ref="L5:L6" si="0">((E5+F5)/2+G5+H5+I5+J5+K5)/6</f>
        <v>7.166666666666667</v>
      </c>
      <c r="M5" s="4">
        <v>2</v>
      </c>
      <c r="N5" s="4">
        <f>M5*L5</f>
        <v>14.333333333333334</v>
      </c>
      <c r="O5" s="19"/>
    </row>
    <row r="6" spans="1:15" ht="18.75" x14ac:dyDescent="0.25">
      <c r="A6" s="4" t="s">
        <v>93</v>
      </c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>
        <f t="shared" si="0"/>
        <v>0</v>
      </c>
      <c r="M6" s="4">
        <v>1</v>
      </c>
      <c r="N6" s="4">
        <f>M6*L6</f>
        <v>0</v>
      </c>
      <c r="O6" s="19"/>
    </row>
    <row r="7" spans="1:15" ht="18.75" x14ac:dyDescent="0.3">
      <c r="A7" s="2" t="s">
        <v>207</v>
      </c>
      <c r="B7" s="2"/>
      <c r="C7" s="2"/>
      <c r="D7" s="2"/>
      <c r="E7" s="18" t="s">
        <v>11</v>
      </c>
      <c r="F7" s="18"/>
      <c r="G7" s="18"/>
      <c r="H7" s="18"/>
      <c r="I7" s="18"/>
      <c r="J7" s="18"/>
      <c r="K7" s="18"/>
      <c r="L7" s="2"/>
      <c r="M7" s="2"/>
      <c r="N7" s="2"/>
    </row>
    <row r="8" spans="1:15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4"/>
      <c r="L8" s="6" t="s">
        <v>14</v>
      </c>
      <c r="M8" s="4" t="s">
        <v>15</v>
      </c>
      <c r="N8" s="4" t="s">
        <v>16</v>
      </c>
      <c r="O8" s="7" t="s">
        <v>18</v>
      </c>
    </row>
    <row r="9" spans="1:15" ht="37.5" x14ac:dyDescent="0.25">
      <c r="A9" s="16" t="s">
        <v>89</v>
      </c>
      <c r="B9" s="4" t="s">
        <v>0</v>
      </c>
      <c r="C9" s="4">
        <v>5</v>
      </c>
      <c r="D9" s="4" t="s">
        <v>203</v>
      </c>
      <c r="E9" s="4">
        <v>6</v>
      </c>
      <c r="F9" s="4">
        <v>8</v>
      </c>
      <c r="G9" s="4">
        <v>7</v>
      </c>
      <c r="H9" s="4">
        <v>8</v>
      </c>
      <c r="I9" s="4">
        <v>7</v>
      </c>
      <c r="J9" s="4">
        <v>7</v>
      </c>
      <c r="K9" s="4">
        <v>7</v>
      </c>
      <c r="L9" s="4">
        <f>((E9+F9)/2+G9+H9+I9+J9+K9)/6</f>
        <v>7.166666666666667</v>
      </c>
      <c r="M9" s="4">
        <v>3</v>
      </c>
      <c r="N9" s="4">
        <f>M9*L9</f>
        <v>21.5</v>
      </c>
      <c r="O9" s="19">
        <f>N9+N10+N11</f>
        <v>36.833333333333336</v>
      </c>
    </row>
    <row r="10" spans="1:15" ht="37.5" x14ac:dyDescent="0.25">
      <c r="A10" s="16" t="s">
        <v>89</v>
      </c>
      <c r="B10" s="4" t="s">
        <v>1</v>
      </c>
      <c r="C10" s="4">
        <v>15</v>
      </c>
      <c r="D10" s="4" t="s">
        <v>204</v>
      </c>
      <c r="E10" s="4">
        <v>7</v>
      </c>
      <c r="F10" s="4">
        <v>9</v>
      </c>
      <c r="G10" s="4">
        <v>8</v>
      </c>
      <c r="H10" s="4">
        <v>8</v>
      </c>
      <c r="I10" s="4">
        <v>7</v>
      </c>
      <c r="J10" s="4">
        <v>7</v>
      </c>
      <c r="K10" s="4">
        <v>8</v>
      </c>
      <c r="L10" s="4">
        <f t="shared" ref="L10:L11" si="1">((E10+F10)/2+G10+H10+I10+J10+K10)/6</f>
        <v>7.666666666666667</v>
      </c>
      <c r="M10" s="4">
        <v>2</v>
      </c>
      <c r="N10" s="4">
        <f>M10*L10</f>
        <v>15.333333333333334</v>
      </c>
      <c r="O10" s="19"/>
    </row>
    <row r="11" spans="1:15" ht="37.5" x14ac:dyDescent="0.25">
      <c r="A11" s="16" t="s">
        <v>89</v>
      </c>
      <c r="B11" s="4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>
        <f t="shared" si="1"/>
        <v>0</v>
      </c>
      <c r="M11" s="4">
        <v>1</v>
      </c>
      <c r="N11" s="4">
        <f>M11*L11</f>
        <v>0</v>
      </c>
      <c r="O11" s="19"/>
    </row>
    <row r="12" spans="1:15" ht="18.75" x14ac:dyDescent="0.3">
      <c r="A12" s="2" t="s">
        <v>207</v>
      </c>
      <c r="B12" s="2"/>
      <c r="C12" s="2"/>
      <c r="D12" s="2"/>
      <c r="E12" s="18" t="s">
        <v>11</v>
      </c>
      <c r="F12" s="18"/>
      <c r="G12" s="18"/>
      <c r="H12" s="18"/>
      <c r="I12" s="18"/>
      <c r="J12" s="18"/>
      <c r="K12" s="18"/>
      <c r="L12" s="2"/>
      <c r="M12" s="2"/>
      <c r="N12" s="2"/>
    </row>
    <row r="13" spans="1:15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4"/>
      <c r="L13" s="6" t="s">
        <v>14</v>
      </c>
      <c r="M13" s="4" t="s">
        <v>15</v>
      </c>
      <c r="N13" s="4" t="s">
        <v>16</v>
      </c>
      <c r="O13" s="7" t="s">
        <v>18</v>
      </c>
    </row>
    <row r="14" spans="1:15" ht="18.75" x14ac:dyDescent="0.25">
      <c r="A14" s="4" t="s">
        <v>29</v>
      </c>
      <c r="B14" s="4" t="s">
        <v>0</v>
      </c>
      <c r="C14" s="4">
        <v>15</v>
      </c>
      <c r="D14" s="4" t="s">
        <v>148</v>
      </c>
      <c r="E14" s="4">
        <v>4</v>
      </c>
      <c r="F14" s="4">
        <v>7</v>
      </c>
      <c r="G14" s="4">
        <v>5</v>
      </c>
      <c r="H14" s="4">
        <v>6</v>
      </c>
      <c r="I14" s="4">
        <v>5</v>
      </c>
      <c r="J14" s="4">
        <v>6</v>
      </c>
      <c r="K14" s="4">
        <v>6</v>
      </c>
      <c r="L14" s="4">
        <f>((E14+F14)/2+G14+H14+I14+J14+K14)/6</f>
        <v>5.583333333333333</v>
      </c>
      <c r="M14" s="4">
        <v>3</v>
      </c>
      <c r="N14" s="4">
        <f>M14*L14</f>
        <v>16.75</v>
      </c>
      <c r="O14" s="19">
        <f>N14+N15+N16</f>
        <v>29.583333333333336</v>
      </c>
    </row>
    <row r="15" spans="1:15" ht="18.75" x14ac:dyDescent="0.25">
      <c r="A15" s="4" t="s">
        <v>29</v>
      </c>
      <c r="B15" s="4" t="s">
        <v>1</v>
      </c>
      <c r="C15" s="4">
        <v>12</v>
      </c>
      <c r="D15" s="4" t="s">
        <v>154</v>
      </c>
      <c r="E15" s="4">
        <v>5</v>
      </c>
      <c r="F15" s="4">
        <v>8</v>
      </c>
      <c r="G15" s="4">
        <v>6</v>
      </c>
      <c r="H15" s="4">
        <v>7</v>
      </c>
      <c r="I15" s="4">
        <v>7</v>
      </c>
      <c r="J15" s="4">
        <v>6</v>
      </c>
      <c r="K15" s="4">
        <v>6</v>
      </c>
      <c r="L15" s="4">
        <f t="shared" ref="L15:L16" si="2">((E15+F15)/2+G15+H15+I15+J15+K15)/6</f>
        <v>6.416666666666667</v>
      </c>
      <c r="M15" s="4">
        <v>2</v>
      </c>
      <c r="N15" s="4">
        <f>M15*L15</f>
        <v>12.833333333333334</v>
      </c>
      <c r="O15" s="19"/>
    </row>
    <row r="16" spans="1:15" ht="18.75" x14ac:dyDescent="0.25">
      <c r="A16" s="4" t="s">
        <v>29</v>
      </c>
      <c r="B16" s="4" t="s">
        <v>2</v>
      </c>
      <c r="C16" s="4"/>
      <c r="D16" s="4"/>
      <c r="E16" s="4"/>
      <c r="F16" s="4"/>
      <c r="G16" s="4"/>
      <c r="H16" s="4"/>
      <c r="I16" s="4"/>
      <c r="J16" s="4"/>
      <c r="K16" s="4"/>
      <c r="L16" s="4">
        <f t="shared" si="2"/>
        <v>0</v>
      </c>
      <c r="M16" s="4">
        <v>1</v>
      </c>
      <c r="N16" s="4">
        <f>M16*L16</f>
        <v>0</v>
      </c>
      <c r="O16" s="19"/>
    </row>
  </sheetData>
  <autoFilter ref="A2:O16"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0" hiddenButton="1" showButton="0"/>
  </autoFilter>
  <mergeCells count="7">
    <mergeCell ref="O14:O16"/>
    <mergeCell ref="A1:N1"/>
    <mergeCell ref="E2:K2"/>
    <mergeCell ref="O4:O6"/>
    <mergeCell ref="E7:K7"/>
    <mergeCell ref="O9:O11"/>
    <mergeCell ref="E12:K12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topLeftCell="G1" zoomScale="80" zoomScaleNormal="80" workbookViewId="0">
      <selection activeCell="R3" sqref="R3:AD8"/>
    </sheetView>
  </sheetViews>
  <sheetFormatPr defaultRowHeight="15" x14ac:dyDescent="0.25"/>
  <cols>
    <col min="1" max="1" width="16" customWidth="1"/>
    <col min="2" max="2" width="5.42578125" customWidth="1"/>
    <col min="3" max="3" width="8.140625" customWidth="1"/>
    <col min="4" max="4" width="19.85546875" customWidth="1"/>
    <col min="5" max="12" width="5.85546875" customWidth="1"/>
    <col min="13" max="13" width="8" customWidth="1"/>
    <col min="14" max="15" width="7.85546875" customWidth="1"/>
    <col min="17" max="17" width="3.5703125" customWidth="1"/>
  </cols>
  <sheetData>
    <row r="1" spans="1:16" ht="18.75" x14ac:dyDescent="0.3">
      <c r="A1" s="20" t="s">
        <v>202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6" ht="18.75" x14ac:dyDescent="0.3">
      <c r="A2" s="2" t="s">
        <v>207</v>
      </c>
      <c r="B2" s="2"/>
      <c r="C2" s="2"/>
      <c r="D2" s="2"/>
      <c r="E2" s="18" t="s">
        <v>11</v>
      </c>
      <c r="F2" s="18"/>
      <c r="G2" s="18"/>
      <c r="H2" s="18"/>
      <c r="I2" s="18"/>
      <c r="J2" s="18"/>
      <c r="K2" s="18"/>
      <c r="L2" s="18"/>
      <c r="M2" s="2"/>
      <c r="N2" s="2"/>
      <c r="O2" s="2"/>
    </row>
    <row r="3" spans="1:16" ht="18.75" x14ac:dyDescent="0.25">
      <c r="A3" s="4" t="s">
        <v>8</v>
      </c>
      <c r="B3" s="6" t="s">
        <v>7</v>
      </c>
      <c r="C3" s="4" t="s">
        <v>9</v>
      </c>
      <c r="D3" s="4" t="s">
        <v>10</v>
      </c>
      <c r="E3" s="4" t="s">
        <v>12</v>
      </c>
      <c r="F3" s="4" t="s">
        <v>13</v>
      </c>
      <c r="G3" s="4"/>
      <c r="H3" s="4"/>
      <c r="I3" s="4"/>
      <c r="J3" s="4"/>
      <c r="K3" s="4"/>
      <c r="L3" s="4"/>
      <c r="M3" s="6" t="s">
        <v>14</v>
      </c>
      <c r="N3" s="4" t="s">
        <v>15</v>
      </c>
      <c r="O3" s="4" t="s">
        <v>16</v>
      </c>
      <c r="P3" s="7" t="s">
        <v>18</v>
      </c>
    </row>
    <row r="4" spans="1:16" ht="37.5" x14ac:dyDescent="0.25">
      <c r="A4" s="16" t="s">
        <v>32</v>
      </c>
      <c r="B4" s="4" t="s">
        <v>0</v>
      </c>
      <c r="C4" s="4">
        <v>8</v>
      </c>
      <c r="D4" s="16" t="s">
        <v>200</v>
      </c>
      <c r="E4" s="4">
        <v>7</v>
      </c>
      <c r="F4" s="4">
        <v>9</v>
      </c>
      <c r="G4" s="4">
        <v>8</v>
      </c>
      <c r="H4" s="4">
        <v>8</v>
      </c>
      <c r="I4" s="4">
        <v>8</v>
      </c>
      <c r="J4" s="4">
        <v>8</v>
      </c>
      <c r="K4" s="4">
        <v>9</v>
      </c>
      <c r="L4" s="4">
        <v>8</v>
      </c>
      <c r="M4" s="4">
        <f>((E4+F4)/2+G4+H4+I4+J4+K4+L4)/7</f>
        <v>8.1428571428571423</v>
      </c>
      <c r="N4" s="4">
        <v>3</v>
      </c>
      <c r="O4" s="4">
        <f>N4*M4</f>
        <v>24.428571428571427</v>
      </c>
      <c r="P4" s="19">
        <f>O4+O5+O6</f>
        <v>38.142857142857139</v>
      </c>
    </row>
    <row r="5" spans="1:16" ht="37.5" x14ac:dyDescent="0.25">
      <c r="A5" s="16" t="s">
        <v>32</v>
      </c>
      <c r="B5" s="4" t="s">
        <v>1</v>
      </c>
      <c r="C5" s="4">
        <v>10</v>
      </c>
      <c r="D5" s="4" t="s">
        <v>136</v>
      </c>
      <c r="E5" s="4">
        <v>6</v>
      </c>
      <c r="F5" s="4">
        <v>8</v>
      </c>
      <c r="G5" s="4">
        <v>6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f t="shared" ref="M5:M6" si="0">((E5+F5)/2+G5+H5+I5+J5+K5+L5)/7</f>
        <v>6.8571428571428568</v>
      </c>
      <c r="N5" s="4">
        <v>2</v>
      </c>
      <c r="O5" s="4">
        <f>N5*M5</f>
        <v>13.714285714285714</v>
      </c>
      <c r="P5" s="19"/>
    </row>
    <row r="6" spans="1:16" ht="37.5" x14ac:dyDescent="0.25">
      <c r="A6" s="16" t="s">
        <v>32</v>
      </c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f t="shared" si="0"/>
        <v>0</v>
      </c>
      <c r="N6" s="4">
        <v>1</v>
      </c>
      <c r="O6" s="4">
        <f>N6*M6</f>
        <v>0</v>
      </c>
      <c r="P6" s="19"/>
    </row>
    <row r="7" spans="1:16" ht="18.75" x14ac:dyDescent="0.3">
      <c r="A7" s="2" t="s">
        <v>207</v>
      </c>
      <c r="B7" s="2"/>
      <c r="C7" s="2"/>
      <c r="D7" s="2"/>
      <c r="E7" s="18" t="s">
        <v>11</v>
      </c>
      <c r="F7" s="18"/>
      <c r="G7" s="18"/>
      <c r="H7" s="18"/>
      <c r="I7" s="18"/>
      <c r="J7" s="18"/>
      <c r="K7" s="18"/>
      <c r="L7" s="18"/>
      <c r="M7" s="2"/>
      <c r="N7" s="2"/>
      <c r="O7" s="2"/>
    </row>
    <row r="8" spans="1:16" ht="18.75" x14ac:dyDescent="0.25">
      <c r="A8" s="4" t="s">
        <v>8</v>
      </c>
      <c r="B8" s="6" t="s">
        <v>7</v>
      </c>
      <c r="C8" s="4" t="s">
        <v>9</v>
      </c>
      <c r="D8" s="4" t="s">
        <v>10</v>
      </c>
      <c r="E8" s="4" t="s">
        <v>12</v>
      </c>
      <c r="F8" s="4" t="s">
        <v>13</v>
      </c>
      <c r="G8" s="4"/>
      <c r="H8" s="4"/>
      <c r="I8" s="4"/>
      <c r="J8" s="4"/>
      <c r="K8" s="4"/>
      <c r="L8" s="4"/>
      <c r="M8" s="6" t="s">
        <v>14</v>
      </c>
      <c r="N8" s="4" t="s">
        <v>15</v>
      </c>
      <c r="O8" s="4" t="s">
        <v>16</v>
      </c>
      <c r="P8" s="7" t="s">
        <v>18</v>
      </c>
    </row>
    <row r="9" spans="1:16" ht="37.5" x14ac:dyDescent="0.25">
      <c r="A9" s="16" t="s">
        <v>155</v>
      </c>
      <c r="B9" s="4" t="s">
        <v>0</v>
      </c>
      <c r="C9" s="4">
        <v>16</v>
      </c>
      <c r="D9" s="4" t="s">
        <v>198</v>
      </c>
      <c r="E9" s="4">
        <v>9</v>
      </c>
      <c r="F9" s="4">
        <v>10</v>
      </c>
      <c r="G9" s="4">
        <v>9</v>
      </c>
      <c r="H9" s="4">
        <v>9</v>
      </c>
      <c r="I9" s="4">
        <v>9</v>
      </c>
      <c r="J9" s="4">
        <v>9</v>
      </c>
      <c r="K9" s="4">
        <v>9</v>
      </c>
      <c r="L9" s="4">
        <v>9</v>
      </c>
      <c r="M9" s="4">
        <f>((E9+F9)/2+G9+H9+I9+J9+K9+L9)/7</f>
        <v>9.0714285714285712</v>
      </c>
      <c r="N9" s="4">
        <v>3</v>
      </c>
      <c r="O9" s="4">
        <f>N9*M9</f>
        <v>27.214285714285715</v>
      </c>
      <c r="P9" s="19">
        <f>O9+O10+O11</f>
        <v>43.5</v>
      </c>
    </row>
    <row r="10" spans="1:16" ht="37.5" x14ac:dyDescent="0.25">
      <c r="A10" s="16" t="s">
        <v>155</v>
      </c>
      <c r="B10" s="4" t="s">
        <v>1</v>
      </c>
      <c r="C10" s="4">
        <v>8</v>
      </c>
      <c r="D10" s="16" t="s">
        <v>205</v>
      </c>
      <c r="E10" s="4">
        <v>7</v>
      </c>
      <c r="F10" s="4">
        <v>9</v>
      </c>
      <c r="G10" s="4">
        <v>8</v>
      </c>
      <c r="H10" s="4">
        <v>9</v>
      </c>
      <c r="I10" s="4">
        <v>9</v>
      </c>
      <c r="J10" s="4">
        <v>8</v>
      </c>
      <c r="K10" s="4">
        <v>7</v>
      </c>
      <c r="L10" s="4">
        <v>8</v>
      </c>
      <c r="M10" s="4">
        <f t="shared" ref="M10:M11" si="1">((E10+F10)/2+G10+H10+I10+J10+K10+L10)/7</f>
        <v>8.1428571428571423</v>
      </c>
      <c r="N10" s="4">
        <v>2</v>
      </c>
      <c r="O10" s="4">
        <f>N10*M10</f>
        <v>16.285714285714285</v>
      </c>
      <c r="P10" s="19"/>
    </row>
    <row r="11" spans="1:16" ht="37.5" x14ac:dyDescent="0.25">
      <c r="A11" s="16" t="s">
        <v>155</v>
      </c>
      <c r="B11" s="4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f t="shared" si="1"/>
        <v>0</v>
      </c>
      <c r="N11" s="4">
        <v>1</v>
      </c>
      <c r="O11" s="4">
        <f>N11*M11</f>
        <v>0</v>
      </c>
      <c r="P11" s="19"/>
    </row>
    <row r="12" spans="1:16" ht="18.75" x14ac:dyDescent="0.3">
      <c r="A12" s="2" t="s">
        <v>207</v>
      </c>
      <c r="B12" s="2"/>
      <c r="C12" s="2"/>
      <c r="D12" s="2"/>
      <c r="E12" s="18" t="s">
        <v>11</v>
      </c>
      <c r="F12" s="18"/>
      <c r="G12" s="18"/>
      <c r="H12" s="18"/>
      <c r="I12" s="18"/>
      <c r="J12" s="18"/>
      <c r="K12" s="18"/>
      <c r="L12" s="18"/>
      <c r="M12" s="2"/>
      <c r="N12" s="2"/>
      <c r="O12" s="2"/>
    </row>
    <row r="13" spans="1:16" ht="18.75" x14ac:dyDescent="0.25">
      <c r="A13" s="4" t="s">
        <v>8</v>
      </c>
      <c r="B13" s="6" t="s">
        <v>7</v>
      </c>
      <c r="C13" s="4" t="s">
        <v>9</v>
      </c>
      <c r="D13" s="4" t="s">
        <v>10</v>
      </c>
      <c r="E13" s="4" t="s">
        <v>12</v>
      </c>
      <c r="F13" s="4" t="s">
        <v>13</v>
      </c>
      <c r="G13" s="4"/>
      <c r="H13" s="4"/>
      <c r="I13" s="4"/>
      <c r="J13" s="4"/>
      <c r="K13" s="4"/>
      <c r="L13" s="4"/>
      <c r="M13" s="6" t="s">
        <v>14</v>
      </c>
      <c r="N13" s="4" t="s">
        <v>15</v>
      </c>
      <c r="O13" s="4" t="s">
        <v>16</v>
      </c>
      <c r="P13" s="7" t="s">
        <v>18</v>
      </c>
    </row>
    <row r="14" spans="1:16" ht="37.5" x14ac:dyDescent="0.25">
      <c r="A14" s="4" t="s">
        <v>34</v>
      </c>
      <c r="B14" s="4" t="s">
        <v>0</v>
      </c>
      <c r="C14" s="4">
        <v>10</v>
      </c>
      <c r="D14" s="16" t="s">
        <v>199</v>
      </c>
      <c r="E14" s="4">
        <v>6</v>
      </c>
      <c r="F14" s="4">
        <v>9</v>
      </c>
      <c r="G14" s="4">
        <v>8</v>
      </c>
      <c r="H14" s="4">
        <v>8</v>
      </c>
      <c r="I14" s="4">
        <v>7</v>
      </c>
      <c r="J14" s="4">
        <v>8</v>
      </c>
      <c r="K14" s="4">
        <v>8</v>
      </c>
      <c r="L14" s="4">
        <v>8</v>
      </c>
      <c r="M14" s="4">
        <f>((E14+F14)/2+G14+H14+I14+J14+K14+L14)/7</f>
        <v>7.7857142857142856</v>
      </c>
      <c r="N14" s="4">
        <v>3</v>
      </c>
      <c r="O14" s="4">
        <f>N14*M14</f>
        <v>23.357142857142858</v>
      </c>
      <c r="P14" s="19">
        <f>O14+O15+O16</f>
        <v>38.785714285714285</v>
      </c>
    </row>
    <row r="15" spans="1:16" ht="37.5" x14ac:dyDescent="0.25">
      <c r="A15" s="4" t="s">
        <v>34</v>
      </c>
      <c r="B15" s="4" t="s">
        <v>1</v>
      </c>
      <c r="C15" s="4">
        <v>16</v>
      </c>
      <c r="D15" s="16" t="s">
        <v>206</v>
      </c>
      <c r="E15" s="4">
        <v>6</v>
      </c>
      <c r="F15" s="4">
        <v>8</v>
      </c>
      <c r="G15" s="4">
        <v>8</v>
      </c>
      <c r="H15" s="4">
        <v>7</v>
      </c>
      <c r="I15" s="4">
        <v>8</v>
      </c>
      <c r="J15" s="4">
        <v>8</v>
      </c>
      <c r="K15" s="4">
        <v>8</v>
      </c>
      <c r="L15" s="4">
        <v>8</v>
      </c>
      <c r="M15" s="4">
        <f t="shared" ref="M15:M16" si="2">((E15+F15)/2+G15+H15+I15+J15+K15+L15)/7</f>
        <v>7.7142857142857144</v>
      </c>
      <c r="N15" s="4">
        <v>2</v>
      </c>
      <c r="O15" s="4">
        <f>N15*M15</f>
        <v>15.428571428571429</v>
      </c>
      <c r="P15" s="19"/>
    </row>
    <row r="16" spans="1:16" ht="18.75" x14ac:dyDescent="0.25">
      <c r="A16" s="4" t="s">
        <v>34</v>
      </c>
      <c r="B16" s="4" t="s">
        <v>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f t="shared" si="2"/>
        <v>0</v>
      </c>
      <c r="N16" s="4">
        <v>1</v>
      </c>
      <c r="O16" s="4">
        <f>N16*M16</f>
        <v>0</v>
      </c>
      <c r="P16" s="19"/>
    </row>
  </sheetData>
  <autoFilter ref="A2:P16"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0" hiddenButton="1" showButton="0"/>
    <filterColumn colId="11" hiddenButton="1" showButton="0"/>
  </autoFilter>
  <mergeCells count="7">
    <mergeCell ref="P14:P16"/>
    <mergeCell ref="A1:O1"/>
    <mergeCell ref="E2:L2"/>
    <mergeCell ref="P4:P6"/>
    <mergeCell ref="E7:L7"/>
    <mergeCell ref="P9:P11"/>
    <mergeCell ref="E12:L12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8"/>
  <sheetViews>
    <sheetView tabSelected="1" topLeftCell="B1" zoomScale="90" zoomScaleNormal="90" workbookViewId="0">
      <selection activeCell="K22" sqref="K22"/>
    </sheetView>
  </sheetViews>
  <sheetFormatPr defaultRowHeight="15" x14ac:dyDescent="0.25"/>
  <cols>
    <col min="1" max="1" width="13" customWidth="1"/>
    <col min="2" max="2" width="31.28515625" customWidth="1"/>
    <col min="3" max="3" width="38.140625" customWidth="1"/>
    <col min="4" max="4" width="9" customWidth="1"/>
    <col min="6" max="6" width="9.140625" style="1"/>
    <col min="11" max="11" width="18.7109375" customWidth="1"/>
    <col min="13" max="13" width="20" customWidth="1"/>
  </cols>
  <sheetData>
    <row r="1" spans="1:11" ht="18.75" customHeight="1" x14ac:dyDescent="0.25"/>
    <row r="2" spans="1:11" ht="18.75" customHeight="1" x14ac:dyDescent="0.3">
      <c r="A2" s="3"/>
      <c r="B2" s="3" t="s">
        <v>8</v>
      </c>
      <c r="C2" s="3" t="s">
        <v>229</v>
      </c>
      <c r="D2" s="8" t="s">
        <v>100</v>
      </c>
      <c r="E2" s="8" t="s">
        <v>104</v>
      </c>
      <c r="F2" s="8" t="s">
        <v>105</v>
      </c>
      <c r="G2" s="8" t="s">
        <v>106</v>
      </c>
      <c r="H2" s="8" t="s">
        <v>107</v>
      </c>
      <c r="I2" s="17" t="s">
        <v>208</v>
      </c>
      <c r="J2" s="8" t="s">
        <v>196</v>
      </c>
    </row>
    <row r="3" spans="1:11" ht="18.75" x14ac:dyDescent="0.3">
      <c r="A3" s="3" t="s">
        <v>103</v>
      </c>
      <c r="B3" s="3" t="s">
        <v>155</v>
      </c>
      <c r="C3" s="3" t="s">
        <v>211</v>
      </c>
      <c r="D3" s="11">
        <v>41.3333333333333</v>
      </c>
      <c r="E3" s="11">
        <v>51.1666666666667</v>
      </c>
      <c r="F3" s="15">
        <v>42.166666666666664</v>
      </c>
      <c r="G3" s="11">
        <v>34.25</v>
      </c>
      <c r="H3" s="11">
        <v>46.1</v>
      </c>
      <c r="I3" s="11">
        <f>SUM(D3:H3)</f>
        <v>215.01666666666665</v>
      </c>
      <c r="J3" s="11">
        <v>43.5</v>
      </c>
      <c r="K3" s="5" t="s">
        <v>210</v>
      </c>
    </row>
    <row r="4" spans="1:11" ht="18.75" x14ac:dyDescent="0.3">
      <c r="A4" s="3" t="s">
        <v>103</v>
      </c>
      <c r="B4" s="3" t="s">
        <v>34</v>
      </c>
      <c r="C4" s="3" t="s">
        <v>212</v>
      </c>
      <c r="D4" s="11">
        <v>41.5</v>
      </c>
      <c r="E4" s="11">
        <v>36.5</v>
      </c>
      <c r="F4" s="11">
        <v>41.5</v>
      </c>
      <c r="G4" s="11">
        <v>43.25</v>
      </c>
      <c r="H4" s="11">
        <v>41</v>
      </c>
      <c r="I4" s="11">
        <f>SUM(D4:H4)</f>
        <v>203.75</v>
      </c>
      <c r="J4" s="11">
        <v>38.799999999999997</v>
      </c>
      <c r="K4" s="5" t="s">
        <v>209</v>
      </c>
    </row>
    <row r="5" spans="1:11" ht="18.75" x14ac:dyDescent="0.3">
      <c r="A5" s="3" t="s">
        <v>103</v>
      </c>
      <c r="B5" s="3" t="s">
        <v>32</v>
      </c>
      <c r="C5" s="3" t="s">
        <v>213</v>
      </c>
      <c r="D5" s="11">
        <v>43.5</v>
      </c>
      <c r="E5" s="11">
        <v>39.1666666666667</v>
      </c>
      <c r="F5" s="10">
        <v>45.166666666666671</v>
      </c>
      <c r="G5" s="11">
        <v>45.25</v>
      </c>
      <c r="H5" s="11">
        <v>49.75</v>
      </c>
      <c r="I5" s="11">
        <f>SUM(D5:H5)</f>
        <v>222.83333333333337</v>
      </c>
      <c r="J5" s="11">
        <v>38.1</v>
      </c>
      <c r="K5" s="5" t="s">
        <v>209</v>
      </c>
    </row>
    <row r="6" spans="1:11" ht="18.75" x14ac:dyDescent="0.3">
      <c r="A6" s="3" t="s">
        <v>103</v>
      </c>
      <c r="B6" s="3" t="s">
        <v>82</v>
      </c>
      <c r="C6" s="3" t="s">
        <v>214</v>
      </c>
      <c r="D6" s="11">
        <v>37.666666666666671</v>
      </c>
      <c r="E6" s="11">
        <v>37.5</v>
      </c>
      <c r="F6" s="11">
        <v>46</v>
      </c>
      <c r="G6" s="11">
        <v>41.8</v>
      </c>
      <c r="H6" s="11">
        <v>38.700000000000003</v>
      </c>
      <c r="I6" s="11">
        <f>SUM(D6:H6)</f>
        <v>201.66666666666669</v>
      </c>
      <c r="J6" s="11"/>
      <c r="K6" s="5" t="s">
        <v>197</v>
      </c>
    </row>
    <row r="7" spans="1:11" ht="18.75" customHeight="1" x14ac:dyDescent="0.3">
      <c r="A7" s="3" t="s">
        <v>103</v>
      </c>
      <c r="B7" s="3" t="s">
        <v>23</v>
      </c>
      <c r="C7" s="3" t="s">
        <v>215</v>
      </c>
      <c r="D7" s="11">
        <v>32</v>
      </c>
      <c r="E7" s="11">
        <v>34</v>
      </c>
      <c r="F7" s="10">
        <v>39.166666666666664</v>
      </c>
      <c r="G7" s="11">
        <v>29.866666666666699</v>
      </c>
      <c r="H7" s="11">
        <v>24.125</v>
      </c>
      <c r="I7" s="11">
        <f>SUM(D7:H7)</f>
        <v>159.15833333333336</v>
      </c>
      <c r="J7" s="11"/>
    </row>
    <row r="8" spans="1:11" ht="18.75" customHeight="1" x14ac:dyDescent="0.3">
      <c r="A8" s="9"/>
      <c r="B8" s="9"/>
      <c r="C8" s="9"/>
      <c r="D8" s="12"/>
      <c r="E8" s="12"/>
      <c r="F8" s="12"/>
      <c r="G8" s="12"/>
      <c r="H8" s="12"/>
      <c r="I8" s="12"/>
      <c r="J8" s="21"/>
    </row>
    <row r="9" spans="1:11" ht="18.75" x14ac:dyDescent="0.3">
      <c r="A9" s="3" t="s">
        <v>102</v>
      </c>
      <c r="B9" s="3" t="s">
        <v>89</v>
      </c>
      <c r="C9" s="3" t="s">
        <v>216</v>
      </c>
      <c r="D9" s="11">
        <v>40.666666666666671</v>
      </c>
      <c r="E9" s="11">
        <v>35</v>
      </c>
      <c r="F9" s="11">
        <v>33.833333333333336</v>
      </c>
      <c r="G9" s="11">
        <v>41.375</v>
      </c>
      <c r="H9" s="11">
        <v>39.75</v>
      </c>
      <c r="I9" s="11">
        <f>SUM(D9:H9)</f>
        <v>190.625</v>
      </c>
      <c r="J9" s="11">
        <v>36.799999999999997</v>
      </c>
      <c r="K9" s="5" t="s">
        <v>210</v>
      </c>
    </row>
    <row r="10" spans="1:11" ht="18.75" x14ac:dyDescent="0.3">
      <c r="A10" s="3" t="s">
        <v>102</v>
      </c>
      <c r="B10" s="3" t="s">
        <v>93</v>
      </c>
      <c r="C10" s="3" t="s">
        <v>217</v>
      </c>
      <c r="D10" s="11">
        <v>36.166666666666671</v>
      </c>
      <c r="E10" s="11">
        <v>35.8333333333333</v>
      </c>
      <c r="F10" s="11">
        <v>40.5</v>
      </c>
      <c r="G10" s="11">
        <v>40</v>
      </c>
      <c r="H10" s="11">
        <v>45</v>
      </c>
      <c r="I10" s="11">
        <f>SUM(D10:H10)</f>
        <v>197.49999999999997</v>
      </c>
      <c r="J10" s="11">
        <v>35.200000000000003</v>
      </c>
      <c r="K10" s="5" t="s">
        <v>209</v>
      </c>
    </row>
    <row r="11" spans="1:11" ht="18.75" x14ac:dyDescent="0.3">
      <c r="A11" s="3" t="s">
        <v>102</v>
      </c>
      <c r="B11" s="3" t="s">
        <v>29</v>
      </c>
      <c r="C11" s="3" t="s">
        <v>214</v>
      </c>
      <c r="D11" s="11">
        <v>35.5</v>
      </c>
      <c r="E11" s="11">
        <v>39.5</v>
      </c>
      <c r="F11" s="11">
        <v>37</v>
      </c>
      <c r="G11" s="11">
        <v>39.5</v>
      </c>
      <c r="H11" s="11">
        <v>34.4</v>
      </c>
      <c r="I11" s="11">
        <f>SUM(D11:H11)</f>
        <v>185.9</v>
      </c>
      <c r="J11" s="11">
        <v>29.6</v>
      </c>
      <c r="K11" s="5" t="s">
        <v>209</v>
      </c>
    </row>
    <row r="12" spans="1:11" ht="18.75" x14ac:dyDescent="0.3">
      <c r="A12" s="3" t="s">
        <v>102</v>
      </c>
      <c r="B12" s="3" t="s">
        <v>69</v>
      </c>
      <c r="C12" s="3" t="s">
        <v>218</v>
      </c>
      <c r="D12" s="11">
        <v>32.833333333333336</v>
      </c>
      <c r="E12" s="11">
        <v>35</v>
      </c>
      <c r="F12" s="11">
        <v>34.333333333333336</v>
      </c>
      <c r="G12" s="11">
        <v>40.6</v>
      </c>
      <c r="H12" s="11">
        <v>38</v>
      </c>
      <c r="I12" s="11">
        <f t="shared" ref="I9:I23" si="0">SUM(D12:H12)</f>
        <v>180.76666666666668</v>
      </c>
      <c r="J12" s="15"/>
      <c r="K12" s="5" t="s">
        <v>197</v>
      </c>
    </row>
    <row r="13" spans="1:11" ht="18.75" customHeight="1" x14ac:dyDescent="0.3">
      <c r="A13" s="3" t="s">
        <v>102</v>
      </c>
      <c r="B13" s="3" t="s">
        <v>38</v>
      </c>
      <c r="C13" s="3" t="s">
        <v>219</v>
      </c>
      <c r="D13" s="11">
        <v>40.333333333333329</v>
      </c>
      <c r="E13" s="11">
        <v>35</v>
      </c>
      <c r="F13" s="11">
        <v>33.33</v>
      </c>
      <c r="G13" s="11">
        <v>41</v>
      </c>
      <c r="H13" s="11">
        <v>30.5</v>
      </c>
      <c r="I13" s="11">
        <f t="shared" si="0"/>
        <v>180.16333333333333</v>
      </c>
      <c r="J13" s="15"/>
      <c r="K13" s="5" t="s">
        <v>197</v>
      </c>
    </row>
    <row r="14" spans="1:11" ht="18.75" x14ac:dyDescent="0.3">
      <c r="A14" s="3" t="s">
        <v>102</v>
      </c>
      <c r="B14" s="3" t="s">
        <v>220</v>
      </c>
      <c r="C14" s="3" t="s">
        <v>221</v>
      </c>
      <c r="D14" s="11">
        <v>39.166666666666671</v>
      </c>
      <c r="E14" s="11">
        <v>34</v>
      </c>
      <c r="F14" s="11">
        <v>31.166666666666668</v>
      </c>
      <c r="G14" s="11">
        <v>35.375</v>
      </c>
      <c r="H14" s="11">
        <v>35.4</v>
      </c>
      <c r="I14" s="11">
        <f t="shared" si="0"/>
        <v>175.10833333333335</v>
      </c>
      <c r="J14" s="15"/>
      <c r="K14" s="5" t="s">
        <v>197</v>
      </c>
    </row>
    <row r="15" spans="1:11" ht="18.75" x14ac:dyDescent="0.3">
      <c r="A15" s="3" t="s">
        <v>102</v>
      </c>
      <c r="B15" s="3" t="s">
        <v>101</v>
      </c>
      <c r="C15" s="3" t="s">
        <v>222</v>
      </c>
      <c r="D15" s="11">
        <v>32.666666666666664</v>
      </c>
      <c r="E15" s="11">
        <v>29</v>
      </c>
      <c r="F15" s="11">
        <v>34.83</v>
      </c>
      <c r="G15" s="11">
        <v>37</v>
      </c>
      <c r="H15" s="11">
        <v>35.25</v>
      </c>
      <c r="I15" s="11">
        <f t="shared" si="0"/>
        <v>168.74666666666667</v>
      </c>
      <c r="J15" s="15"/>
      <c r="K15" s="5" t="s">
        <v>197</v>
      </c>
    </row>
    <row r="16" spans="1:11" ht="18.75" x14ac:dyDescent="0.3">
      <c r="A16" s="3" t="s">
        <v>102</v>
      </c>
      <c r="B16" s="3" t="s">
        <v>168</v>
      </c>
      <c r="C16" s="3" t="s">
        <v>223</v>
      </c>
      <c r="D16" s="11">
        <v>29.833333333333332</v>
      </c>
      <c r="E16" s="11">
        <v>36</v>
      </c>
      <c r="F16" s="11">
        <v>25</v>
      </c>
      <c r="G16" s="11">
        <v>37.375</v>
      </c>
      <c r="H16" s="11">
        <v>37.25</v>
      </c>
      <c r="I16" s="11">
        <f t="shared" si="0"/>
        <v>165.45833333333331</v>
      </c>
      <c r="J16" s="15"/>
      <c r="K16" s="5" t="s">
        <v>197</v>
      </c>
    </row>
    <row r="17" spans="1:11" ht="18.75" x14ac:dyDescent="0.3">
      <c r="A17" s="3" t="s">
        <v>102</v>
      </c>
      <c r="B17" s="3" t="s">
        <v>26</v>
      </c>
      <c r="C17" s="3" t="s">
        <v>216</v>
      </c>
      <c r="D17" s="11">
        <v>34.666666666666664</v>
      </c>
      <c r="E17" s="11">
        <v>33.6666666666667</v>
      </c>
      <c r="F17" s="15">
        <v>31.166666666666668</v>
      </c>
      <c r="G17" s="11">
        <v>33.25</v>
      </c>
      <c r="H17" s="11">
        <v>32.299999999999997</v>
      </c>
      <c r="I17" s="11">
        <f t="shared" si="0"/>
        <v>165.05000000000007</v>
      </c>
      <c r="J17" s="15"/>
      <c r="K17" s="5" t="s">
        <v>197</v>
      </c>
    </row>
    <row r="18" spans="1:11" ht="18.75" customHeight="1" x14ac:dyDescent="0.3">
      <c r="A18" s="3" t="s">
        <v>102</v>
      </c>
      <c r="B18" s="3" t="s">
        <v>33</v>
      </c>
      <c r="C18" s="3" t="s">
        <v>213</v>
      </c>
      <c r="D18" s="11">
        <v>30.666666666666668</v>
      </c>
      <c r="E18" s="11">
        <v>31.5</v>
      </c>
      <c r="F18" s="11">
        <v>41.333333333333336</v>
      </c>
      <c r="G18" s="11">
        <v>31.324999999999999</v>
      </c>
      <c r="H18" s="11">
        <v>28.2</v>
      </c>
      <c r="I18" s="11">
        <f t="shared" si="0"/>
        <v>163.02499999999998</v>
      </c>
      <c r="J18" s="15"/>
    </row>
    <row r="19" spans="1:11" ht="18.75" x14ac:dyDescent="0.3">
      <c r="A19" s="3" t="s">
        <v>102</v>
      </c>
      <c r="B19" s="3" t="s">
        <v>224</v>
      </c>
      <c r="C19" s="3" t="s">
        <v>221</v>
      </c>
      <c r="D19" s="11">
        <v>33.333333333333336</v>
      </c>
      <c r="E19" s="11">
        <v>27</v>
      </c>
      <c r="F19" s="11">
        <v>31.5</v>
      </c>
      <c r="G19" s="11">
        <v>31.375</v>
      </c>
      <c r="H19" s="11">
        <v>35.299999999999997</v>
      </c>
      <c r="I19" s="11">
        <f t="shared" si="0"/>
        <v>158.50833333333333</v>
      </c>
      <c r="J19" s="15"/>
    </row>
    <row r="20" spans="1:11" ht="18.75" x14ac:dyDescent="0.3">
      <c r="A20" s="3" t="s">
        <v>102</v>
      </c>
      <c r="B20" s="3" t="s">
        <v>30</v>
      </c>
      <c r="C20" s="3" t="s">
        <v>225</v>
      </c>
      <c r="D20" s="11">
        <v>30.5</v>
      </c>
      <c r="E20" s="11">
        <v>25.1666666666667</v>
      </c>
      <c r="F20" s="11">
        <v>32.5</v>
      </c>
      <c r="G20" s="11">
        <v>36.75</v>
      </c>
      <c r="H20" s="11">
        <v>31.5</v>
      </c>
      <c r="I20" s="11">
        <f t="shared" si="0"/>
        <v>156.41666666666669</v>
      </c>
      <c r="J20" s="15"/>
    </row>
    <row r="21" spans="1:11" ht="18.75" x14ac:dyDescent="0.3">
      <c r="A21" s="3" t="s">
        <v>102</v>
      </c>
      <c r="B21" s="3" t="s">
        <v>108</v>
      </c>
      <c r="C21" s="3" t="s">
        <v>226</v>
      </c>
      <c r="D21" s="11">
        <v>27.166666666666664</v>
      </c>
      <c r="E21" s="11">
        <v>33.3333333333333</v>
      </c>
      <c r="F21" s="11">
        <v>28.666666666666668</v>
      </c>
      <c r="G21" s="11">
        <v>27.625</v>
      </c>
      <c r="H21" s="11">
        <v>35.200000000000003</v>
      </c>
      <c r="I21" s="11">
        <f t="shared" si="0"/>
        <v>151.99166666666662</v>
      </c>
      <c r="J21" s="15"/>
    </row>
    <row r="22" spans="1:11" ht="18.75" x14ac:dyDescent="0.3">
      <c r="A22" s="3" t="s">
        <v>102</v>
      </c>
      <c r="B22" s="3" t="s">
        <v>96</v>
      </c>
      <c r="C22" s="3" t="s">
        <v>227</v>
      </c>
      <c r="D22" s="11">
        <v>25.999999999999996</v>
      </c>
      <c r="E22" s="11">
        <v>27.6666666666667</v>
      </c>
      <c r="F22" s="10">
        <v>23.499999999999996</v>
      </c>
      <c r="G22" s="11">
        <v>26.75</v>
      </c>
      <c r="H22" s="11">
        <v>32.4</v>
      </c>
      <c r="I22" s="11">
        <f t="shared" si="0"/>
        <v>136.31666666666669</v>
      </c>
      <c r="J22" s="15"/>
    </row>
    <row r="23" spans="1:11" ht="18.75" customHeight="1" x14ac:dyDescent="0.3">
      <c r="A23" s="3" t="s">
        <v>102</v>
      </c>
      <c r="B23" s="3" t="s">
        <v>42</v>
      </c>
      <c r="C23" s="3" t="s">
        <v>228</v>
      </c>
      <c r="D23" s="11">
        <v>24.166666666666668</v>
      </c>
      <c r="E23" s="11">
        <v>25</v>
      </c>
      <c r="F23" s="11">
        <v>23.5</v>
      </c>
      <c r="G23" s="11">
        <v>25</v>
      </c>
      <c r="H23" s="11">
        <v>22.8</v>
      </c>
      <c r="I23" s="11">
        <f t="shared" si="0"/>
        <v>120.46666666666667</v>
      </c>
      <c r="J23" s="15"/>
    </row>
    <row r="28" spans="1:11" ht="18.75" customHeight="1" x14ac:dyDescent="0.25"/>
    <row r="33" ht="18.75" customHeight="1" x14ac:dyDescent="0.25"/>
    <row r="38" ht="18.75" customHeight="1" x14ac:dyDescent="0.25"/>
    <row r="43" ht="18.75" customHeight="1" x14ac:dyDescent="0.25"/>
    <row r="48" ht="18.75" customHeight="1" x14ac:dyDescent="0.25"/>
    <row r="53" ht="18.75" customHeight="1" x14ac:dyDescent="0.25"/>
    <row r="58" ht="18.75" customHeight="1" x14ac:dyDescent="0.25"/>
    <row r="63" ht="18.75" customHeight="1" x14ac:dyDescent="0.25"/>
    <row r="68" ht="18.75" customHeight="1" x14ac:dyDescent="0.25"/>
    <row r="73" ht="18.75" customHeight="1" x14ac:dyDescent="0.25"/>
    <row r="78" ht="18.75" customHeight="1" x14ac:dyDescent="0.25"/>
    <row r="83" ht="18.75" customHeight="1" x14ac:dyDescent="0.25"/>
    <row r="88" ht="18.75" customHeight="1" x14ac:dyDescent="0.25"/>
    <row r="93" ht="18.75" customHeight="1" x14ac:dyDescent="0.25"/>
    <row r="98" ht="18.75" customHeight="1" x14ac:dyDescent="0.25"/>
  </sheetData>
  <autoFilter ref="A2:I2"/>
  <sortState ref="A9:K11">
    <sortCondition descending="1" ref="J9:J11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Протокол 1 боя</vt:lpstr>
      <vt:lpstr>Протокол 2 боя</vt:lpstr>
      <vt:lpstr>Протокол 3 боя</vt:lpstr>
      <vt:lpstr>Протокол 4 боя </vt:lpstr>
      <vt:lpstr>Протокол 5 боя</vt:lpstr>
      <vt:lpstr>финал1</vt:lpstr>
      <vt:lpstr>финалВ</vt:lpstr>
      <vt:lpstr>командный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2017-03-30T12:37:54Z</cp:lastPrinted>
  <dcterms:created xsi:type="dcterms:W3CDTF">2016-03-23T16:23:15Z</dcterms:created>
  <dcterms:modified xsi:type="dcterms:W3CDTF">2017-03-30T16:36:15Z</dcterms:modified>
</cp:coreProperties>
</file>